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943" windowHeight="9924" tabRatio="813" activeTab="2"/>
  </bookViews>
  <sheets>
    <sheet name="AI(x264 bs Vsx264 main)" sheetId="25" r:id="rId1"/>
    <sheet name="RA(x264 bs Vsx264 main)" sheetId="26" r:id="rId2"/>
    <sheet name="LD(x264 bs Vsx264 main)" sheetId="27" r:id="rId3"/>
    <sheet name="empty" sheetId="16" r:id="rId4"/>
  </sheets>
  <calcPr calcId="144525"/>
</workbook>
</file>

<file path=xl/sharedStrings.xml><?xml version="1.0" encoding="utf-8"?>
<sst xmlns="http://schemas.openxmlformats.org/spreadsheetml/2006/main" count="58">
  <si>
    <t>Reference</t>
  </si>
  <si>
    <t>Tested</t>
  </si>
  <si>
    <t>BD-rate (piecewise cubic)</t>
  </si>
  <si>
    <t>BD-rate (cubic)</t>
  </si>
  <si>
    <t>QPISlice</t>
  </si>
  <si>
    <t>kbps</t>
  </si>
  <si>
    <t>Y psnr</t>
  </si>
  <si>
    <t>U psnr</t>
  </si>
  <si>
    <t>V psnr</t>
  </si>
  <si>
    <t>Enc T [s]</t>
  </si>
  <si>
    <t>Dec T [s]</t>
  </si>
  <si>
    <t>Avg PSNR</t>
  </si>
  <si>
    <t>Enc T [h]</t>
  </si>
  <si>
    <t>Y</t>
  </si>
  <si>
    <t>U</t>
  </si>
  <si>
    <t>V</t>
  </si>
  <si>
    <t>YUV</t>
  </si>
  <si>
    <t>Class A</t>
  </si>
  <si>
    <t>Traffic</t>
  </si>
  <si>
    <t>4K</t>
  </si>
  <si>
    <t>PeopleOnStreet</t>
  </si>
  <si>
    <t>Nebuta</t>
  </si>
  <si>
    <t>SteamLocomotive</t>
  </si>
  <si>
    <t>Class B</t>
  </si>
  <si>
    <t>Kimono</t>
  </si>
  <si>
    <t>1080p</t>
  </si>
  <si>
    <t>ParkScene</t>
  </si>
  <si>
    <t>Cactus</t>
  </si>
  <si>
    <t>BasketballDrive</t>
  </si>
  <si>
    <t>BQTerrace</t>
  </si>
  <si>
    <t>Class C</t>
  </si>
  <si>
    <t>BasketballDrill</t>
  </si>
  <si>
    <t>WVGA</t>
  </si>
  <si>
    <t>BQMall</t>
  </si>
  <si>
    <t>PartyScene</t>
  </si>
  <si>
    <t>RaceHorses</t>
  </si>
  <si>
    <t>Class D</t>
  </si>
  <si>
    <t>BasketballPass</t>
  </si>
  <si>
    <t>WQVGA</t>
  </si>
  <si>
    <t>BQSquare</t>
  </si>
  <si>
    <t>BlowingBubbles</t>
  </si>
  <si>
    <t>ClassE</t>
  </si>
  <si>
    <t>FourPeople</t>
  </si>
  <si>
    <t>720p</t>
  </si>
  <si>
    <t>Johnny</t>
  </si>
  <si>
    <t>KristenAndSara</t>
  </si>
  <si>
    <t>Class F</t>
  </si>
  <si>
    <t>BasketballDrillText</t>
  </si>
  <si>
    <t>SCC</t>
  </si>
  <si>
    <t>ChinaSpeed</t>
  </si>
  <si>
    <t>SlideEditing</t>
  </si>
  <si>
    <t>SlideShow</t>
  </si>
  <si>
    <t>Class E</t>
  </si>
  <si>
    <t>All</t>
  </si>
  <si>
    <t>Time geomean</t>
  </si>
  <si>
    <t>Time ratio</t>
  </si>
  <si>
    <t>Time sum (hours)</t>
  </si>
  <si>
    <t>without class F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</si>
</sst>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0_ "/>
    <numFmt numFmtId="177" formatCode="0.0%"/>
  </numFmts>
  <fonts count="24">
    <font>
      <sz val="12"/>
      <color theme="1"/>
      <name val="Calibri"/>
      <charset val="134"/>
    </font>
    <font>
      <sz val="9"/>
      <color indexed="8"/>
      <name val="Arial"/>
      <charset val="134"/>
    </font>
    <font>
      <b/>
      <sz val="9"/>
      <color indexed="8"/>
      <name val="Arial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2"/>
      <color theme="1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/>
    <xf numFmtId="42" fontId="6" fillId="0" borderId="0" applyFont="0" applyFill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3" fillId="26" borderId="19" applyNumberFormat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6" fillId="16" borderId="18" applyNumberFormat="0" applyFont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2" fillId="0" borderId="17" applyNumberFormat="0" applyFill="0" applyAlignment="0" applyProtection="0">
      <alignment vertical="center"/>
    </xf>
    <xf numFmtId="0" fontId="8" fillId="0" borderId="17" applyNumberFormat="0" applyFill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8" fillId="0" borderId="21" applyNumberFormat="0" applyFill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7" fillId="34" borderId="20" applyNumberFormat="0" applyAlignment="0" applyProtection="0">
      <alignment vertical="center"/>
    </xf>
    <xf numFmtId="0" fontId="16" fillId="34" borderId="19" applyNumberFormat="0" applyAlignment="0" applyProtection="0">
      <alignment vertical="center"/>
    </xf>
    <xf numFmtId="0" fontId="5" fillId="8" borderId="15" applyNumberFormat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21" fillId="0" borderId="22" applyNumberFormat="0" applyFill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5" fillId="0" borderId="0"/>
    <xf numFmtId="0" fontId="3" fillId="21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5" fillId="0" borderId="0"/>
    <xf numFmtId="0" fontId="3" fillId="18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5" fillId="0" borderId="0"/>
    <xf numFmtId="0" fontId="15" fillId="0" borderId="0"/>
    <xf numFmtId="0" fontId="0" fillId="0" borderId="0"/>
  </cellStyleXfs>
  <cellXfs count="90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/>
    <xf numFmtId="176" fontId="1" fillId="2" borderId="5" xfId="0" applyNumberFormat="1" applyFont="1" applyFill="1" applyBorder="1" applyAlignment="1"/>
    <xf numFmtId="176" fontId="1" fillId="2" borderId="6" xfId="0" applyNumberFormat="1" applyFont="1" applyFill="1" applyBorder="1" applyAlignment="1"/>
    <xf numFmtId="0" fontId="1" fillId="0" borderId="7" xfId="0" applyFont="1" applyBorder="1"/>
    <xf numFmtId="176" fontId="1" fillId="2" borderId="8" xfId="0" applyNumberFormat="1" applyFont="1" applyFill="1" applyBorder="1" applyAlignment="1"/>
    <xf numFmtId="176" fontId="1" fillId="2" borderId="0" xfId="0" applyNumberFormat="1" applyFont="1" applyFill="1" applyBorder="1" applyAlignment="1"/>
    <xf numFmtId="0" fontId="1" fillId="0" borderId="9" xfId="0" applyFont="1" applyBorder="1"/>
    <xf numFmtId="176" fontId="1" fillId="2" borderId="10" xfId="0" applyNumberFormat="1" applyFont="1" applyFill="1" applyBorder="1" applyAlignment="1"/>
    <xf numFmtId="176" fontId="1" fillId="2" borderId="11" xfId="0" applyNumberFormat="1" applyFont="1" applyFill="1" applyBorder="1" applyAlignment="1"/>
    <xf numFmtId="0" fontId="2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176" fontId="1" fillId="2" borderId="12" xfId="0" applyNumberFormat="1" applyFont="1" applyFill="1" applyBorder="1" applyAlignment="1"/>
    <xf numFmtId="176" fontId="1" fillId="2" borderId="5" xfId="0" applyNumberFormat="1" applyFont="1" applyFill="1" applyBorder="1"/>
    <xf numFmtId="176" fontId="1" fillId="2" borderId="6" xfId="0" applyNumberFormat="1" applyFont="1" applyFill="1" applyBorder="1"/>
    <xf numFmtId="176" fontId="1" fillId="2" borderId="13" xfId="0" applyNumberFormat="1" applyFont="1" applyFill="1" applyBorder="1" applyAlignment="1"/>
    <xf numFmtId="176" fontId="1" fillId="2" borderId="8" xfId="0" applyNumberFormat="1" applyFont="1" applyFill="1" applyBorder="1"/>
    <xf numFmtId="176" fontId="1" fillId="2" borderId="0" xfId="0" applyNumberFormat="1" applyFont="1" applyFill="1" applyBorder="1"/>
    <xf numFmtId="176" fontId="1" fillId="2" borderId="14" xfId="0" applyNumberFormat="1" applyFont="1" applyFill="1" applyBorder="1" applyAlignment="1"/>
    <xf numFmtId="176" fontId="1" fillId="2" borderId="10" xfId="0" applyNumberFormat="1" applyFont="1" applyFill="1" applyBorder="1"/>
    <xf numFmtId="176" fontId="1" fillId="2" borderId="11" xfId="0" applyNumberFormat="1" applyFont="1" applyFill="1" applyBorder="1"/>
    <xf numFmtId="176" fontId="1" fillId="2" borderId="5" xfId="51" applyNumberFormat="1" applyFont="1" applyFill="1" applyBorder="1" applyAlignment="1"/>
    <xf numFmtId="176" fontId="1" fillId="2" borderId="6" xfId="51" applyNumberFormat="1" applyFont="1" applyFill="1" applyBorder="1" applyAlignment="1"/>
    <xf numFmtId="176" fontId="1" fillId="2" borderId="8" xfId="51" applyNumberFormat="1" applyFont="1" applyFill="1" applyBorder="1" applyAlignment="1"/>
    <xf numFmtId="176" fontId="1" fillId="2" borderId="0" xfId="51" applyNumberFormat="1" applyFont="1" applyFill="1" applyBorder="1" applyAlignment="1"/>
    <xf numFmtId="176" fontId="1" fillId="2" borderId="10" xfId="51" applyNumberFormat="1" applyFont="1" applyFill="1" applyBorder="1" applyAlignment="1"/>
    <xf numFmtId="176" fontId="1" fillId="2" borderId="11" xfId="51" applyNumberFormat="1" applyFont="1" applyFill="1" applyBorder="1" applyAlignment="1"/>
    <xf numFmtId="0" fontId="1" fillId="0" borderId="0" xfId="0" applyFont="1" applyBorder="1" applyAlignment="1">
      <alignment horizontal="center"/>
    </xf>
    <xf numFmtId="176" fontId="1" fillId="2" borderId="12" xfId="0" applyNumberFormat="1" applyFont="1" applyFill="1" applyBorder="1"/>
    <xf numFmtId="2" fontId="1" fillId="0" borderId="0" xfId="0" applyNumberFormat="1" applyFont="1"/>
    <xf numFmtId="177" fontId="1" fillId="0" borderId="5" xfId="0" applyNumberFormat="1" applyFont="1" applyBorder="1" applyAlignment="1">
      <alignment horizontal="center"/>
    </xf>
    <xf numFmtId="177" fontId="1" fillId="0" borderId="6" xfId="0" applyNumberFormat="1" applyFont="1" applyBorder="1" applyAlignment="1">
      <alignment horizontal="center"/>
    </xf>
    <xf numFmtId="177" fontId="1" fillId="0" borderId="12" xfId="0" applyNumberFormat="1" applyFont="1" applyBorder="1" applyAlignment="1">
      <alignment horizontal="center"/>
    </xf>
    <xf numFmtId="176" fontId="1" fillId="2" borderId="13" xfId="0" applyNumberFormat="1" applyFont="1" applyFill="1" applyBorder="1"/>
    <xf numFmtId="0" fontId="1" fillId="0" borderId="8" xfId="0" applyFont="1" applyBorder="1"/>
    <xf numFmtId="0" fontId="1" fillId="0" borderId="0" xfId="0" applyFont="1" applyBorder="1"/>
    <xf numFmtId="0" fontId="1" fillId="0" borderId="13" xfId="0" applyFont="1" applyBorder="1"/>
    <xf numFmtId="176" fontId="1" fillId="2" borderId="14" xfId="0" applyNumberFormat="1" applyFont="1" applyFill="1" applyBorder="1"/>
    <xf numFmtId="0" fontId="1" fillId="0" borderId="10" xfId="0" applyFont="1" applyBorder="1"/>
    <xf numFmtId="0" fontId="1" fillId="0" borderId="11" xfId="0" applyFont="1" applyBorder="1"/>
    <xf numFmtId="0" fontId="1" fillId="0" borderId="14" xfId="0" applyFont="1" applyBorder="1"/>
    <xf numFmtId="10" fontId="1" fillId="0" borderId="0" xfId="0" applyNumberFormat="1" applyFont="1" applyBorder="1"/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177" fontId="1" fillId="0" borderId="8" xfId="0" applyNumberFormat="1" applyFont="1" applyBorder="1" applyAlignment="1">
      <alignment horizontal="center"/>
    </xf>
    <xf numFmtId="177" fontId="1" fillId="0" borderId="0" xfId="0" applyNumberFormat="1" applyFont="1" applyBorder="1" applyAlignment="1">
      <alignment horizontal="center"/>
    </xf>
    <xf numFmtId="177" fontId="1" fillId="0" borderId="13" xfId="0" applyNumberFormat="1" applyFont="1" applyBorder="1" applyAlignment="1">
      <alignment horizontal="center"/>
    </xf>
    <xf numFmtId="176" fontId="1" fillId="0" borderId="0" xfId="0" applyNumberFormat="1" applyFont="1"/>
    <xf numFmtId="177" fontId="1" fillId="0" borderId="1" xfId="0" applyNumberFormat="1" applyFont="1" applyBorder="1" applyAlignment="1">
      <alignment horizontal="center"/>
    </xf>
    <xf numFmtId="177" fontId="1" fillId="0" borderId="2" xfId="0" applyNumberFormat="1" applyFont="1" applyBorder="1" applyAlignment="1">
      <alignment horizontal="center"/>
    </xf>
    <xf numFmtId="9" fontId="1" fillId="0" borderId="0" xfId="0" applyNumberFormat="1" applyFont="1"/>
    <xf numFmtId="177" fontId="1" fillId="0" borderId="3" xfId="0" applyNumberFormat="1" applyFont="1" applyBorder="1" applyAlignment="1">
      <alignment horizontal="center"/>
    </xf>
    <xf numFmtId="0" fontId="1" fillId="3" borderId="4" xfId="0" applyFont="1" applyFill="1" applyBorder="1"/>
    <xf numFmtId="176" fontId="1" fillId="2" borderId="5" xfId="52" applyNumberFormat="1" applyFont="1" applyFill="1" applyBorder="1" applyAlignment="1"/>
    <xf numFmtId="176" fontId="1" fillId="2" borderId="6" xfId="52" applyNumberFormat="1" applyFont="1" applyFill="1" applyBorder="1" applyAlignment="1"/>
    <xf numFmtId="0" fontId="1" fillId="3" borderId="7" xfId="0" applyFont="1" applyFill="1" applyBorder="1"/>
    <xf numFmtId="176" fontId="1" fillId="2" borderId="8" xfId="52" applyNumberFormat="1" applyFont="1" applyFill="1" applyBorder="1" applyAlignment="1"/>
    <xf numFmtId="176" fontId="1" fillId="2" borderId="0" xfId="52" applyNumberFormat="1" applyFont="1" applyFill="1" applyBorder="1" applyAlignment="1"/>
    <xf numFmtId="0" fontId="1" fillId="3" borderId="9" xfId="0" applyFont="1" applyFill="1" applyBorder="1"/>
    <xf numFmtId="176" fontId="1" fillId="2" borderId="10" xfId="52" applyNumberFormat="1" applyFont="1" applyFill="1" applyBorder="1" applyAlignment="1"/>
    <xf numFmtId="176" fontId="1" fillId="2" borderId="11" xfId="52" applyNumberFormat="1" applyFont="1" applyFill="1" applyBorder="1" applyAlignment="1"/>
    <xf numFmtId="177" fontId="1" fillId="0" borderId="0" xfId="0" applyNumberFormat="1" applyFont="1"/>
    <xf numFmtId="176" fontId="1" fillId="2" borderId="5" xfId="53" applyNumberFormat="1" applyFont="1" applyFill="1" applyBorder="1" applyAlignment="1"/>
    <xf numFmtId="176" fontId="1" fillId="2" borderId="6" xfId="53" applyNumberFormat="1" applyFont="1" applyFill="1" applyBorder="1" applyAlignment="1"/>
    <xf numFmtId="176" fontId="1" fillId="2" borderId="8" xfId="53" applyNumberFormat="1" applyFont="1" applyFill="1" applyBorder="1" applyAlignment="1"/>
    <xf numFmtId="176" fontId="1" fillId="2" borderId="0" xfId="53" applyNumberFormat="1" applyFont="1" applyFill="1" applyBorder="1" applyAlignment="1"/>
    <xf numFmtId="176" fontId="1" fillId="2" borderId="10" xfId="53" applyNumberFormat="1" applyFont="1" applyFill="1" applyBorder="1" applyAlignment="1"/>
    <xf numFmtId="176" fontId="1" fillId="2" borderId="11" xfId="53" applyNumberFormat="1" applyFont="1" applyFill="1" applyBorder="1" applyAlignment="1"/>
    <xf numFmtId="176" fontId="1" fillId="2" borderId="5" xfId="52" applyNumberFormat="1" applyFont="1" applyFill="1" applyBorder="1"/>
    <xf numFmtId="176" fontId="1" fillId="2" borderId="6" xfId="52" applyNumberFormat="1" applyFont="1" applyFill="1" applyBorder="1"/>
    <xf numFmtId="176" fontId="1" fillId="2" borderId="8" xfId="52" applyNumberFormat="1" applyFont="1" applyFill="1" applyBorder="1"/>
    <xf numFmtId="176" fontId="1" fillId="2" borderId="0" xfId="52" applyNumberFormat="1" applyFont="1" applyFill="1" applyBorder="1"/>
    <xf numFmtId="176" fontId="1" fillId="2" borderId="10" xfId="52" applyNumberFormat="1" applyFont="1" applyFill="1" applyBorder="1"/>
    <xf numFmtId="176" fontId="1" fillId="2" borderId="11" xfId="52" applyNumberFormat="1" applyFont="1" applyFill="1" applyBorder="1"/>
    <xf numFmtId="176" fontId="1" fillId="4" borderId="5" xfId="52" applyNumberFormat="1" applyFont="1" applyFill="1" applyBorder="1" applyAlignment="1"/>
    <xf numFmtId="176" fontId="1" fillId="4" borderId="6" xfId="52" applyNumberFormat="1" applyFont="1" applyFill="1" applyBorder="1" applyAlignment="1"/>
    <xf numFmtId="176" fontId="1" fillId="4" borderId="8" xfId="52" applyNumberFormat="1" applyFont="1" applyFill="1" applyBorder="1" applyAlignment="1"/>
    <xf numFmtId="176" fontId="1" fillId="4" borderId="0" xfId="52" applyNumberFormat="1" applyFont="1" applyFill="1" applyBorder="1" applyAlignment="1"/>
    <xf numFmtId="176" fontId="1" fillId="4" borderId="10" xfId="52" applyNumberFormat="1" applyFont="1" applyFill="1" applyBorder="1" applyAlignment="1"/>
    <xf numFmtId="176" fontId="1" fillId="4" borderId="11" xfId="52" applyNumberFormat="1" applyFont="1" applyFill="1" applyBorder="1" applyAlignment="1"/>
  </cellXfs>
  <cellStyles count="54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常规 2 2 2" xfId="35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常规 2 2" xf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常规 2" xfId="51"/>
    <cellStyle name="常规 3" xfId="52"/>
    <cellStyle name="常规 4" xfId="53"/>
  </cellStyles>
  <dxfs count="2"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AB109"/>
  <sheetViews>
    <sheetView topLeftCell="A88" workbookViewId="0">
      <selection activeCell="B124" sqref="B124"/>
    </sheetView>
  </sheetViews>
  <sheetFormatPr defaultColWidth="10.875" defaultRowHeight="11.4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1" width="8.875" style="1" customWidth="1"/>
    <col min="12" max="12" width="2.875" style="1" customWidth="1"/>
    <col min="13" max="13" width="9.875" style="1" customWidth="1"/>
    <col min="14" max="16" width="6.875" style="1" customWidth="1"/>
    <col min="17" max="20" width="8.875" style="1" customWidth="1"/>
    <col min="21" max="21" width="2.875" style="1" customWidth="1"/>
    <col min="22" max="28" width="8.875" style="1" customWidth="1"/>
    <col min="29" max="16384" width="10.875" style="1"/>
  </cols>
  <sheetData>
    <row r="1" ht="12.75" spans="4:28">
      <c r="D1" s="2" t="s">
        <v>0</v>
      </c>
      <c r="E1" s="3"/>
      <c r="F1" s="3"/>
      <c r="G1" s="3"/>
      <c r="H1" s="3"/>
      <c r="I1" s="3"/>
      <c r="J1" s="3"/>
      <c r="K1" s="18"/>
      <c r="M1" s="2" t="s">
        <v>1</v>
      </c>
      <c r="N1" s="3"/>
      <c r="O1" s="3"/>
      <c r="P1" s="3"/>
      <c r="Q1" s="3"/>
      <c r="R1" s="3"/>
      <c r="S1" s="3"/>
      <c r="T1" s="18"/>
      <c r="U1" s="20"/>
      <c r="V1" s="2" t="s">
        <v>2</v>
      </c>
      <c r="W1" s="3"/>
      <c r="X1" s="18"/>
      <c r="Y1" s="3"/>
      <c r="Z1" s="2" t="s">
        <v>3</v>
      </c>
      <c r="AA1" s="3"/>
      <c r="AB1" s="18"/>
    </row>
    <row r="2" ht="12.15" spans="1:28">
      <c r="A2" s="4"/>
      <c r="B2" s="5"/>
      <c r="C2" s="6" t="s">
        <v>4</v>
      </c>
      <c r="D2" s="7" t="s">
        <v>5</v>
      </c>
      <c r="E2" s="8" t="s">
        <v>6</v>
      </c>
      <c r="F2" s="8" t="s">
        <v>7</v>
      </c>
      <c r="G2" s="8" t="s">
        <v>8</v>
      </c>
      <c r="H2" s="8" t="s">
        <v>9</v>
      </c>
      <c r="I2" s="8" t="s">
        <v>10</v>
      </c>
      <c r="J2" s="8" t="s">
        <v>11</v>
      </c>
      <c r="K2" s="19" t="s">
        <v>12</v>
      </c>
      <c r="L2" s="20"/>
      <c r="M2" s="7" t="s">
        <v>5</v>
      </c>
      <c r="N2" s="8" t="s">
        <v>6</v>
      </c>
      <c r="O2" s="8" t="s">
        <v>7</v>
      </c>
      <c r="P2" s="8" t="s">
        <v>8</v>
      </c>
      <c r="Q2" s="8" t="s">
        <v>9</v>
      </c>
      <c r="R2" s="8" t="s">
        <v>10</v>
      </c>
      <c r="S2" s="8" t="s">
        <v>11</v>
      </c>
      <c r="T2" s="19" t="s">
        <v>12</v>
      </c>
      <c r="U2" s="36"/>
      <c r="V2" s="7" t="s">
        <v>13</v>
      </c>
      <c r="W2" s="8" t="s">
        <v>14</v>
      </c>
      <c r="X2" s="19" t="s">
        <v>15</v>
      </c>
      <c r="Y2" s="51" t="s">
        <v>16</v>
      </c>
      <c r="Z2" s="52" t="s">
        <v>13</v>
      </c>
      <c r="AA2" s="51" t="s">
        <v>14</v>
      </c>
      <c r="AB2" s="53" t="s">
        <v>15</v>
      </c>
    </row>
    <row r="3" spans="1:28">
      <c r="A3" s="9" t="s">
        <v>17</v>
      </c>
      <c r="B3" s="9" t="s">
        <v>18</v>
      </c>
      <c r="C3" s="9">
        <v>22</v>
      </c>
      <c r="D3" s="72">
        <v>123193.66</v>
      </c>
      <c r="E3" s="73">
        <v>43.204</v>
      </c>
      <c r="F3" s="73">
        <v>42.931</v>
      </c>
      <c r="G3" s="73">
        <v>44.671</v>
      </c>
      <c r="H3" s="73">
        <v>7421.715</v>
      </c>
      <c r="I3" s="73">
        <v>61.276</v>
      </c>
      <c r="J3" s="11">
        <f>(6*E3+F3+G3)/8</f>
        <v>43.35325</v>
      </c>
      <c r="K3" s="21">
        <f>H3/3600</f>
        <v>2.0615875</v>
      </c>
      <c r="M3" s="78">
        <v>123193.66</v>
      </c>
      <c r="N3" s="79">
        <v>43.204</v>
      </c>
      <c r="O3" s="79">
        <v>42.931</v>
      </c>
      <c r="P3" s="79">
        <v>44.671</v>
      </c>
      <c r="Q3" s="79">
        <v>7505.574</v>
      </c>
      <c r="R3" s="79">
        <v>61.01</v>
      </c>
      <c r="S3" s="23">
        <f>(6*N3+O3+P3)/8</f>
        <v>43.35325</v>
      </c>
      <c r="T3" s="37">
        <f>Q3/3600</f>
        <v>2.08488166666667</v>
      </c>
      <c r="U3" s="38"/>
      <c r="V3" s="39">
        <f>bdrate($D3:$D6,E3:E6,$M3:$M6,N3:N6)</f>
        <v>0</v>
      </c>
      <c r="W3" s="40">
        <f>bdrate($D3:$D6,F3:F6,$M3:$M6,O3:O6)</f>
        <v>0</v>
      </c>
      <c r="X3" s="41">
        <f>bdrate($D3:$D6,G3:G6,$M3:$M6,P3:P6)</f>
        <v>0</v>
      </c>
      <c r="Y3" s="40">
        <f>bdrate(D3:D6,J3:J6,M3:M6,S3:S6)</f>
        <v>0</v>
      </c>
      <c r="Z3" s="39">
        <f>bdrateOld($D3:$D6,E3:E6,$M3:$M6,N3:N6)</f>
        <v>0</v>
      </c>
      <c r="AA3" s="40">
        <f>bdrateOld($D3:$D6,F3:F6,$M3:$M6,O3:O6)</f>
        <v>0</v>
      </c>
      <c r="AB3" s="41">
        <f>bdrateOld($D3:$D6,G3:G6,$M3:$M6,P3:P6)</f>
        <v>0</v>
      </c>
    </row>
    <row r="4" spans="1:28">
      <c r="A4" s="12" t="s">
        <v>19</v>
      </c>
      <c r="B4" s="12"/>
      <c r="C4" s="12">
        <v>27</v>
      </c>
      <c r="D4" s="74">
        <v>70449.32</v>
      </c>
      <c r="E4" s="75">
        <v>39.931</v>
      </c>
      <c r="F4" s="75">
        <v>40.207</v>
      </c>
      <c r="G4" s="75">
        <v>42.221</v>
      </c>
      <c r="H4" s="75">
        <v>6366</v>
      </c>
      <c r="I4" s="75">
        <v>53.231</v>
      </c>
      <c r="J4" s="14">
        <f t="shared" ref="J4:J67" si="0">(6*E4+F4+G4)/8</f>
        <v>40.25175</v>
      </c>
      <c r="K4" s="24">
        <f>H4/3600</f>
        <v>1.76833333333333</v>
      </c>
      <c r="M4" s="80">
        <v>70449.32</v>
      </c>
      <c r="N4" s="81">
        <v>39.931</v>
      </c>
      <c r="O4" s="81">
        <v>40.207</v>
      </c>
      <c r="P4" s="81">
        <v>42.221</v>
      </c>
      <c r="Q4" s="81">
        <v>6474.942</v>
      </c>
      <c r="R4" s="81">
        <v>54.165</v>
      </c>
      <c r="S4" s="26">
        <f t="shared" ref="S4:S67" si="1">(6*N4+O4+P4)/8</f>
        <v>40.25175</v>
      </c>
      <c r="T4" s="42">
        <f>Q4/3600</f>
        <v>1.798595</v>
      </c>
      <c r="U4" s="38"/>
      <c r="V4" s="43"/>
      <c r="W4" s="44"/>
      <c r="X4" s="45"/>
      <c r="Y4" s="44"/>
      <c r="Z4" s="43"/>
      <c r="AA4" s="44"/>
      <c r="AB4" s="45"/>
    </row>
    <row r="5" spans="1:28">
      <c r="A5" s="12"/>
      <c r="B5" s="12"/>
      <c r="C5" s="12">
        <v>32</v>
      </c>
      <c r="D5" s="74">
        <v>39163.16</v>
      </c>
      <c r="E5" s="75">
        <v>36.733</v>
      </c>
      <c r="F5" s="75">
        <v>38.199</v>
      </c>
      <c r="G5" s="75">
        <v>40.437</v>
      </c>
      <c r="H5" s="75">
        <v>5676.241</v>
      </c>
      <c r="I5" s="75">
        <v>42.14</v>
      </c>
      <c r="J5" s="14">
        <f t="shared" si="0"/>
        <v>37.37925</v>
      </c>
      <c r="K5" s="24">
        <f>H5/3600</f>
        <v>1.57673361111111</v>
      </c>
      <c r="M5" s="80">
        <v>39163.16</v>
      </c>
      <c r="N5" s="81">
        <v>36.733</v>
      </c>
      <c r="O5" s="81">
        <v>38.199</v>
      </c>
      <c r="P5" s="81">
        <v>40.437</v>
      </c>
      <c r="Q5" s="81">
        <v>5714.672</v>
      </c>
      <c r="R5" s="81">
        <v>45.076</v>
      </c>
      <c r="S5" s="26">
        <f t="shared" si="1"/>
        <v>37.37925</v>
      </c>
      <c r="T5" s="42">
        <f>Q5/3600</f>
        <v>1.58740888888889</v>
      </c>
      <c r="U5" s="38"/>
      <c r="V5" s="43"/>
      <c r="W5" s="44"/>
      <c r="X5" s="45"/>
      <c r="Y5" s="44"/>
      <c r="Z5" s="43"/>
      <c r="AA5" s="44"/>
      <c r="AB5" s="45"/>
    </row>
    <row r="6" ht="12.15" spans="1:28">
      <c r="A6" s="12"/>
      <c r="B6" s="15"/>
      <c r="C6" s="15">
        <v>37</v>
      </c>
      <c r="D6" s="76">
        <v>22262.68</v>
      </c>
      <c r="E6" s="77">
        <v>33.857</v>
      </c>
      <c r="F6" s="77">
        <v>36.736</v>
      </c>
      <c r="G6" s="77">
        <v>39.052</v>
      </c>
      <c r="H6" s="77">
        <v>5149.704</v>
      </c>
      <c r="I6" s="77">
        <v>49.489</v>
      </c>
      <c r="J6" s="17">
        <f t="shared" si="0"/>
        <v>34.86625</v>
      </c>
      <c r="K6" s="27">
        <f>H6/3600</f>
        <v>1.43047333333333</v>
      </c>
      <c r="M6" s="82">
        <v>22262.68</v>
      </c>
      <c r="N6" s="83">
        <v>33.857</v>
      </c>
      <c r="O6" s="83">
        <v>36.736</v>
      </c>
      <c r="P6" s="83">
        <v>39.052</v>
      </c>
      <c r="Q6" s="83">
        <v>5283.403</v>
      </c>
      <c r="R6" s="83">
        <v>39.338</v>
      </c>
      <c r="S6" s="29">
        <f t="shared" si="1"/>
        <v>34.86625</v>
      </c>
      <c r="T6" s="46">
        <f>Q6/3600</f>
        <v>1.46761194444444</v>
      </c>
      <c r="U6" s="38"/>
      <c r="V6" s="47"/>
      <c r="W6" s="48"/>
      <c r="X6" s="49"/>
      <c r="Y6" s="48"/>
      <c r="Z6" s="47"/>
      <c r="AA6" s="48"/>
      <c r="AB6" s="49"/>
    </row>
    <row r="7" spans="1:28">
      <c r="A7" s="12"/>
      <c r="B7" s="9" t="s">
        <v>20</v>
      </c>
      <c r="C7" s="9">
        <v>22</v>
      </c>
      <c r="D7" s="72">
        <v>126134.38</v>
      </c>
      <c r="E7" s="73">
        <v>42.991</v>
      </c>
      <c r="F7" s="73">
        <v>45.41</v>
      </c>
      <c r="G7" s="73">
        <v>45.279</v>
      </c>
      <c r="H7" s="73">
        <v>7666.445</v>
      </c>
      <c r="I7" s="73">
        <v>59.084</v>
      </c>
      <c r="J7" s="11">
        <f t="shared" si="0"/>
        <v>43.579375</v>
      </c>
      <c r="K7" s="21">
        <f t="shared" ref="K7:K71" si="2">H7/3600</f>
        <v>2.12956805555556</v>
      </c>
      <c r="M7" s="78">
        <v>126134.38</v>
      </c>
      <c r="N7" s="79">
        <v>42.991</v>
      </c>
      <c r="O7" s="79">
        <v>45.41</v>
      </c>
      <c r="P7" s="79">
        <v>45.279</v>
      </c>
      <c r="Q7" s="79">
        <v>7848.958</v>
      </c>
      <c r="R7" s="79">
        <v>71.167</v>
      </c>
      <c r="S7" s="23">
        <f t="shared" si="1"/>
        <v>43.579375</v>
      </c>
      <c r="T7" s="37">
        <f t="shared" ref="T7:T71" si="3">Q7/3600</f>
        <v>2.18026611111111</v>
      </c>
      <c r="U7" s="38"/>
      <c r="V7" s="39">
        <f>bdrate($D7:$D10,E7:E10,$M7:$M10,N7:N10)</f>
        <v>0</v>
      </c>
      <c r="W7" s="40">
        <f>bdrate($D7:$D10,F7:F10,$M7:$M10,O7:O10)</f>
        <v>0</v>
      </c>
      <c r="X7" s="40">
        <f>bdrate($D7:$D10,G7:G10,$M7:$M10,P7:P10)</f>
        <v>0</v>
      </c>
      <c r="Y7" s="40">
        <f>bdrate(D7:D10,J7:J10,M7:M10,S7:S10)</f>
        <v>0</v>
      </c>
      <c r="Z7" s="54">
        <f>bdrateOld($D7:$D10,E7:E10,$M7:$M10,N7:N10)</f>
        <v>0</v>
      </c>
      <c r="AA7" s="55">
        <f>bdrateOld($D7:$D10,F7:F10,$M7:$M10,O7:O10)</f>
        <v>0</v>
      </c>
      <c r="AB7" s="56">
        <f>bdrateOld($D7:$D10,G7:G10,$M7:$M10,P7:P10)</f>
        <v>0</v>
      </c>
    </row>
    <row r="8" spans="1:28">
      <c r="A8" s="12"/>
      <c r="B8" s="12"/>
      <c r="C8" s="12">
        <v>27</v>
      </c>
      <c r="D8" s="74">
        <v>74174.78</v>
      </c>
      <c r="E8" s="75">
        <v>39.512</v>
      </c>
      <c r="F8" s="75">
        <v>43.11</v>
      </c>
      <c r="G8" s="75">
        <v>43.592</v>
      </c>
      <c r="H8" s="75">
        <v>6778.748</v>
      </c>
      <c r="I8" s="75">
        <v>53.995</v>
      </c>
      <c r="J8" s="14">
        <f t="shared" si="0"/>
        <v>40.47175</v>
      </c>
      <c r="K8" s="24">
        <f t="shared" si="2"/>
        <v>1.88298555555556</v>
      </c>
      <c r="M8" s="80">
        <v>74174.78</v>
      </c>
      <c r="N8" s="81">
        <v>39.512</v>
      </c>
      <c r="O8" s="81">
        <v>43.11</v>
      </c>
      <c r="P8" s="81">
        <v>43.592</v>
      </c>
      <c r="Q8" s="81">
        <v>6662.179</v>
      </c>
      <c r="R8" s="81">
        <v>50.027</v>
      </c>
      <c r="S8" s="26">
        <f t="shared" si="1"/>
        <v>40.47175</v>
      </c>
      <c r="T8" s="42">
        <f t="shared" si="3"/>
        <v>1.85060527777778</v>
      </c>
      <c r="U8" s="38"/>
      <c r="V8" s="43"/>
      <c r="W8" s="44"/>
      <c r="X8" s="44"/>
      <c r="Y8" s="44"/>
      <c r="Z8" s="43"/>
      <c r="AA8" s="44"/>
      <c r="AB8" s="45"/>
    </row>
    <row r="9" spans="1:28">
      <c r="A9" s="12"/>
      <c r="B9" s="12"/>
      <c r="C9" s="12">
        <v>32</v>
      </c>
      <c r="D9" s="74">
        <v>42426.98</v>
      </c>
      <c r="E9" s="75">
        <v>36.336</v>
      </c>
      <c r="F9" s="75">
        <v>41.449</v>
      </c>
      <c r="G9" s="75">
        <v>42.226</v>
      </c>
      <c r="H9" s="75">
        <v>5654.298</v>
      </c>
      <c r="I9" s="75">
        <v>43.92</v>
      </c>
      <c r="J9" s="14">
        <f t="shared" si="0"/>
        <v>37.711375</v>
      </c>
      <c r="K9" s="24">
        <f t="shared" si="2"/>
        <v>1.57063833333333</v>
      </c>
      <c r="M9" s="80">
        <v>42426.98</v>
      </c>
      <c r="N9" s="81">
        <v>36.336</v>
      </c>
      <c r="O9" s="81">
        <v>41.449</v>
      </c>
      <c r="P9" s="81">
        <v>42.226</v>
      </c>
      <c r="Q9" s="81">
        <v>5836.324</v>
      </c>
      <c r="R9" s="81">
        <v>44.055</v>
      </c>
      <c r="S9" s="26">
        <f t="shared" si="1"/>
        <v>37.711375</v>
      </c>
      <c r="T9" s="42">
        <f t="shared" si="3"/>
        <v>1.62120111111111</v>
      </c>
      <c r="U9" s="38"/>
      <c r="V9" s="43"/>
      <c r="W9" s="50"/>
      <c r="X9" s="44"/>
      <c r="Y9" s="44"/>
      <c r="Z9" s="43"/>
      <c r="AA9" s="44"/>
      <c r="AB9" s="45"/>
    </row>
    <row r="10" ht="12.15" spans="1:28">
      <c r="A10" s="12"/>
      <c r="B10" s="15"/>
      <c r="C10" s="15">
        <v>37</v>
      </c>
      <c r="D10" s="76">
        <v>25368.46</v>
      </c>
      <c r="E10" s="77">
        <v>33.576</v>
      </c>
      <c r="F10" s="77">
        <v>39.965</v>
      </c>
      <c r="G10" s="77">
        <v>40.851</v>
      </c>
      <c r="H10" s="77">
        <v>5169.939</v>
      </c>
      <c r="I10" s="77">
        <v>40.346</v>
      </c>
      <c r="J10" s="17">
        <f t="shared" si="0"/>
        <v>35.284</v>
      </c>
      <c r="K10" s="27">
        <f t="shared" si="2"/>
        <v>1.43609416666667</v>
      </c>
      <c r="M10" s="82">
        <v>25368.46</v>
      </c>
      <c r="N10" s="83">
        <v>33.576</v>
      </c>
      <c r="O10" s="83">
        <v>39.965</v>
      </c>
      <c r="P10" s="83">
        <v>40.851</v>
      </c>
      <c r="Q10" s="83">
        <v>5319.623</v>
      </c>
      <c r="R10" s="83">
        <v>40.042</v>
      </c>
      <c r="S10" s="29">
        <f t="shared" si="1"/>
        <v>35.284</v>
      </c>
      <c r="T10" s="46">
        <f t="shared" si="3"/>
        <v>1.47767305555556</v>
      </c>
      <c r="U10" s="38"/>
      <c r="V10" s="47"/>
      <c r="W10" s="48"/>
      <c r="X10" s="48"/>
      <c r="Y10" s="48"/>
      <c r="Z10" s="47"/>
      <c r="AA10" s="48"/>
      <c r="AB10" s="49"/>
    </row>
    <row r="11" spans="1:28">
      <c r="A11" s="12"/>
      <c r="B11" s="9" t="s">
        <v>21</v>
      </c>
      <c r="C11" s="9">
        <v>22</v>
      </c>
      <c r="D11" s="72">
        <v>510873.06</v>
      </c>
      <c r="E11" s="73">
        <v>41.962</v>
      </c>
      <c r="F11" s="73">
        <v>41.009</v>
      </c>
      <c r="G11" s="73">
        <v>40.474</v>
      </c>
      <c r="H11" s="73">
        <v>19849.108</v>
      </c>
      <c r="I11" s="73">
        <v>154.221</v>
      </c>
      <c r="J11" s="11">
        <f t="shared" si="0"/>
        <v>41.656875</v>
      </c>
      <c r="K11" s="21">
        <f t="shared" si="2"/>
        <v>5.51364111111111</v>
      </c>
      <c r="M11" s="78">
        <v>510873.06</v>
      </c>
      <c r="N11" s="79">
        <v>41.962</v>
      </c>
      <c r="O11" s="79">
        <v>41.009</v>
      </c>
      <c r="P11" s="79">
        <v>40.474</v>
      </c>
      <c r="Q11" s="79">
        <v>19609.528</v>
      </c>
      <c r="R11" s="79">
        <v>153.971</v>
      </c>
      <c r="S11" s="23">
        <f t="shared" si="1"/>
        <v>41.656875</v>
      </c>
      <c r="T11" s="37">
        <f t="shared" si="3"/>
        <v>5.44709111111111</v>
      </c>
      <c r="U11" s="38"/>
      <c r="V11" s="39">
        <f>bdrate($D11:$D14,E11:E14,$M11:$M14,N11:N14)</f>
        <v>0</v>
      </c>
      <c r="W11" s="40">
        <f>bdrate($D11:$D14,F11:F14,$M11:$M14,O11:O14)</f>
        <v>0</v>
      </c>
      <c r="X11" s="40">
        <f>bdrate($D11:$D14,G11:G14,$M11:$M14,P11:P14)</f>
        <v>0</v>
      </c>
      <c r="Y11" s="40">
        <f>bdrate(D11:D14,J11:J14,M11:M14,S11:S14)</f>
        <v>0</v>
      </c>
      <c r="Z11" s="54">
        <f>bdrateOld($D11:$D14,E11:E14,$M11:$M14,N11:N14)</f>
        <v>0</v>
      </c>
      <c r="AA11" s="55">
        <f>bdrateOld($D11:$D14,F11:F14,$M11:$M14,O11:O14)</f>
        <v>0</v>
      </c>
      <c r="AB11" s="56">
        <f>bdrateOld($D11:$D14,G11:G14,$M11:$M14,P11:P14)</f>
        <v>0</v>
      </c>
    </row>
    <row r="12" spans="1:28">
      <c r="A12" s="12"/>
      <c r="B12" s="12"/>
      <c r="C12" s="12">
        <v>27</v>
      </c>
      <c r="D12" s="74">
        <v>313992.03</v>
      </c>
      <c r="E12" s="75">
        <v>38.03</v>
      </c>
      <c r="F12" s="75">
        <v>38.484</v>
      </c>
      <c r="G12" s="75">
        <v>37.184</v>
      </c>
      <c r="H12" s="75">
        <v>16708.615</v>
      </c>
      <c r="I12" s="75">
        <v>123.389</v>
      </c>
      <c r="J12" s="14">
        <f t="shared" si="0"/>
        <v>37.981</v>
      </c>
      <c r="K12" s="24">
        <f t="shared" si="2"/>
        <v>4.64128194444444</v>
      </c>
      <c r="M12" s="80">
        <v>313992.03</v>
      </c>
      <c r="N12" s="81">
        <v>38.03</v>
      </c>
      <c r="O12" s="81">
        <v>38.484</v>
      </c>
      <c r="P12" s="81">
        <v>37.184</v>
      </c>
      <c r="Q12" s="81">
        <v>16704.963</v>
      </c>
      <c r="R12" s="81">
        <v>122.602</v>
      </c>
      <c r="S12" s="26">
        <f t="shared" si="1"/>
        <v>37.981</v>
      </c>
      <c r="T12" s="42">
        <f t="shared" si="3"/>
        <v>4.6402675</v>
      </c>
      <c r="U12" s="38"/>
      <c r="V12" s="43"/>
      <c r="W12" s="44"/>
      <c r="X12" s="44"/>
      <c r="Y12" s="44"/>
      <c r="Z12" s="43"/>
      <c r="AA12" s="44"/>
      <c r="AB12" s="45"/>
    </row>
    <row r="13" spans="1:28">
      <c r="A13" s="12"/>
      <c r="B13" s="12"/>
      <c r="C13" s="12">
        <v>32</v>
      </c>
      <c r="D13" s="74">
        <v>186934.88</v>
      </c>
      <c r="E13" s="75">
        <v>33.983</v>
      </c>
      <c r="F13" s="75">
        <v>36.682</v>
      </c>
      <c r="G13" s="75">
        <v>35.469</v>
      </c>
      <c r="H13" s="75">
        <v>14272.441</v>
      </c>
      <c r="I13" s="75">
        <v>105.046</v>
      </c>
      <c r="J13" s="14">
        <f t="shared" si="0"/>
        <v>34.506125</v>
      </c>
      <c r="K13" s="24">
        <f t="shared" si="2"/>
        <v>3.96456694444444</v>
      </c>
      <c r="M13" s="80">
        <v>186934.88</v>
      </c>
      <c r="N13" s="81">
        <v>33.983</v>
      </c>
      <c r="O13" s="81">
        <v>36.682</v>
      </c>
      <c r="P13" s="81">
        <v>35.469</v>
      </c>
      <c r="Q13" s="81">
        <v>14396.223</v>
      </c>
      <c r="R13" s="81">
        <v>104.653</v>
      </c>
      <c r="S13" s="26">
        <f t="shared" si="1"/>
        <v>34.506125</v>
      </c>
      <c r="T13" s="42">
        <f t="shared" si="3"/>
        <v>3.99895083333333</v>
      </c>
      <c r="U13" s="38"/>
      <c r="V13" s="43"/>
      <c r="W13" s="44"/>
      <c r="X13" s="44"/>
      <c r="Y13" s="44"/>
      <c r="Z13" s="43"/>
      <c r="AA13" s="44"/>
      <c r="AB13" s="45"/>
    </row>
    <row r="14" ht="12.15" spans="1:28">
      <c r="A14" s="12"/>
      <c r="B14" s="15"/>
      <c r="C14" s="15">
        <v>37</v>
      </c>
      <c r="D14" s="76">
        <v>95226.47</v>
      </c>
      <c r="E14" s="77">
        <v>30.074</v>
      </c>
      <c r="F14" s="77">
        <v>34.976</v>
      </c>
      <c r="G14" s="77">
        <v>33.852</v>
      </c>
      <c r="H14" s="77">
        <v>12005.539</v>
      </c>
      <c r="I14" s="77">
        <v>88.559</v>
      </c>
      <c r="J14" s="17">
        <f t="shared" si="0"/>
        <v>31.159</v>
      </c>
      <c r="K14" s="27">
        <f t="shared" si="2"/>
        <v>3.33487194444444</v>
      </c>
      <c r="M14" s="82">
        <v>95226.47</v>
      </c>
      <c r="N14" s="83">
        <v>30.074</v>
      </c>
      <c r="O14" s="83">
        <v>34.976</v>
      </c>
      <c r="P14" s="83">
        <v>33.852</v>
      </c>
      <c r="Q14" s="83">
        <v>12218.126</v>
      </c>
      <c r="R14" s="83">
        <v>94.444</v>
      </c>
      <c r="S14" s="29">
        <f t="shared" si="1"/>
        <v>31.159</v>
      </c>
      <c r="T14" s="46">
        <f t="shared" si="3"/>
        <v>3.39392388888889</v>
      </c>
      <c r="U14" s="38"/>
      <c r="V14" s="47"/>
      <c r="W14" s="48"/>
      <c r="X14" s="48"/>
      <c r="Y14" s="48"/>
      <c r="Z14" s="47"/>
      <c r="AA14" s="48"/>
      <c r="AB14" s="49"/>
    </row>
    <row r="15" spans="1:28">
      <c r="A15" s="12"/>
      <c r="B15" s="9" t="s">
        <v>22</v>
      </c>
      <c r="C15" s="9">
        <v>22</v>
      </c>
      <c r="D15" s="72">
        <v>122989.61</v>
      </c>
      <c r="E15" s="73">
        <v>43.48</v>
      </c>
      <c r="F15" s="73">
        <v>46.545</v>
      </c>
      <c r="G15" s="73">
        <v>46.231</v>
      </c>
      <c r="H15" s="73">
        <v>12454.972</v>
      </c>
      <c r="I15" s="73">
        <v>95.742</v>
      </c>
      <c r="J15" s="11">
        <f t="shared" si="0"/>
        <v>44.207</v>
      </c>
      <c r="K15" s="21">
        <f t="shared" si="2"/>
        <v>3.45971444444444</v>
      </c>
      <c r="M15" s="78">
        <v>122989.61</v>
      </c>
      <c r="N15" s="79">
        <v>43.48</v>
      </c>
      <c r="O15" s="79">
        <v>46.545</v>
      </c>
      <c r="P15" s="79">
        <v>46.231</v>
      </c>
      <c r="Q15" s="79">
        <v>12711.076</v>
      </c>
      <c r="R15" s="79">
        <v>91.702</v>
      </c>
      <c r="S15" s="23">
        <f t="shared" si="1"/>
        <v>44.207</v>
      </c>
      <c r="T15" s="37">
        <f t="shared" si="3"/>
        <v>3.53085444444444</v>
      </c>
      <c r="U15" s="38"/>
      <c r="V15" s="39">
        <f>bdrate($D15:$D18,E15:E18,$M15:$M18,N15:N18)</f>
        <v>0</v>
      </c>
      <c r="W15" s="40">
        <f>bdrate($D15:$D18,F15:F18,$M15:$M18,O15:O18)</f>
        <v>0</v>
      </c>
      <c r="X15" s="40">
        <f>bdrate($D15:$D18,G15:G18,$M15:$M18,P15:P18)</f>
        <v>0</v>
      </c>
      <c r="Y15" s="40">
        <f>bdrate(D15:D18,J15:J18,M15:M18,S15:S18)</f>
        <v>0</v>
      </c>
      <c r="Z15" s="54">
        <f>bdrateOld($D15:$D18,E15:E18,$M15:$M18,N15:N18)</f>
        <v>0</v>
      </c>
      <c r="AA15" s="55">
        <f>bdrateOld($D15:$D18,F15:F18,$M15:$M18,O15:O18)</f>
        <v>0</v>
      </c>
      <c r="AB15" s="56">
        <f>bdrateOld($D15:$D18,G15:G18,$M15:$M18,P15:P18)</f>
        <v>0</v>
      </c>
    </row>
    <row r="16" spans="1:28">
      <c r="A16" s="12"/>
      <c r="B16" s="12"/>
      <c r="C16" s="12">
        <v>27</v>
      </c>
      <c r="D16" s="74">
        <v>58835.85</v>
      </c>
      <c r="E16" s="75">
        <v>41.21</v>
      </c>
      <c r="F16" s="75">
        <v>45.543</v>
      </c>
      <c r="G16" s="75">
        <v>45.311</v>
      </c>
      <c r="H16" s="75">
        <v>10714.194</v>
      </c>
      <c r="I16" s="75">
        <v>77.394</v>
      </c>
      <c r="J16" s="14">
        <f t="shared" si="0"/>
        <v>42.26425</v>
      </c>
      <c r="K16" s="24">
        <f t="shared" si="2"/>
        <v>2.976165</v>
      </c>
      <c r="M16" s="80">
        <v>58835.85</v>
      </c>
      <c r="N16" s="81">
        <v>41.21</v>
      </c>
      <c r="O16" s="81">
        <v>45.543</v>
      </c>
      <c r="P16" s="81">
        <v>45.311</v>
      </c>
      <c r="Q16" s="81">
        <v>10749.634</v>
      </c>
      <c r="R16" s="81">
        <v>77.657</v>
      </c>
      <c r="S16" s="26">
        <f t="shared" si="1"/>
        <v>42.26425</v>
      </c>
      <c r="T16" s="42">
        <f t="shared" si="3"/>
        <v>2.98600944444444</v>
      </c>
      <c r="U16" s="38"/>
      <c r="V16" s="43"/>
      <c r="W16" s="44"/>
      <c r="X16" s="44"/>
      <c r="Y16" s="44"/>
      <c r="Z16" s="43"/>
      <c r="AA16" s="44"/>
      <c r="AB16" s="45"/>
    </row>
    <row r="17" spans="1:28">
      <c r="A17" s="12"/>
      <c r="B17" s="12"/>
      <c r="C17" s="12">
        <v>32</v>
      </c>
      <c r="D17" s="74">
        <v>32130.96</v>
      </c>
      <c r="E17" s="75">
        <v>39.535</v>
      </c>
      <c r="F17" s="75">
        <v>44.69</v>
      </c>
      <c r="G17" s="75">
        <v>44.516</v>
      </c>
      <c r="H17" s="75">
        <v>9893.222</v>
      </c>
      <c r="I17" s="75">
        <v>71.421</v>
      </c>
      <c r="J17" s="14">
        <f t="shared" si="0"/>
        <v>40.802</v>
      </c>
      <c r="K17" s="24">
        <f t="shared" si="2"/>
        <v>2.74811722222222</v>
      </c>
      <c r="M17" s="80">
        <v>32130.96</v>
      </c>
      <c r="N17" s="81">
        <v>39.535</v>
      </c>
      <c r="O17" s="81">
        <v>44.69</v>
      </c>
      <c r="P17" s="81">
        <v>44.516</v>
      </c>
      <c r="Q17" s="81">
        <v>10010.434</v>
      </c>
      <c r="R17" s="81">
        <v>84.95</v>
      </c>
      <c r="S17" s="26">
        <f t="shared" si="1"/>
        <v>40.802</v>
      </c>
      <c r="T17" s="42">
        <f t="shared" si="3"/>
        <v>2.78067611111111</v>
      </c>
      <c r="U17" s="38"/>
      <c r="V17" s="43"/>
      <c r="W17" s="44"/>
      <c r="X17" s="44"/>
      <c r="Y17" s="44"/>
      <c r="Z17" s="43"/>
      <c r="AA17" s="44"/>
      <c r="AB17" s="45"/>
    </row>
    <row r="18" ht="12.15" spans="1:28">
      <c r="A18" s="15"/>
      <c r="B18" s="15"/>
      <c r="C18" s="15">
        <v>37</v>
      </c>
      <c r="D18" s="76">
        <v>18222.51</v>
      </c>
      <c r="E18" s="77">
        <v>37.775</v>
      </c>
      <c r="F18" s="77">
        <v>43.745</v>
      </c>
      <c r="G18" s="77">
        <v>43.507</v>
      </c>
      <c r="H18" s="77">
        <v>9387.123</v>
      </c>
      <c r="I18" s="77">
        <v>68.176</v>
      </c>
      <c r="J18" s="17">
        <f t="shared" si="0"/>
        <v>39.23775</v>
      </c>
      <c r="K18" s="27">
        <f t="shared" si="2"/>
        <v>2.60753416666667</v>
      </c>
      <c r="M18" s="82">
        <v>18222.51</v>
      </c>
      <c r="N18" s="83">
        <v>37.775</v>
      </c>
      <c r="O18" s="83">
        <v>43.745</v>
      </c>
      <c r="P18" s="83">
        <v>43.507</v>
      </c>
      <c r="Q18" s="83">
        <v>9619.229</v>
      </c>
      <c r="R18" s="83">
        <v>70.76</v>
      </c>
      <c r="S18" s="29">
        <f t="shared" si="1"/>
        <v>39.23775</v>
      </c>
      <c r="T18" s="46">
        <f t="shared" si="3"/>
        <v>2.67200805555556</v>
      </c>
      <c r="U18" s="38"/>
      <c r="V18" s="47"/>
      <c r="W18" s="48"/>
      <c r="X18" s="48"/>
      <c r="Y18" s="48"/>
      <c r="Z18" s="47"/>
      <c r="AA18" s="48"/>
      <c r="AB18" s="49"/>
    </row>
    <row r="19" spans="1:28">
      <c r="A19" s="9" t="s">
        <v>23</v>
      </c>
      <c r="B19" s="9" t="s">
        <v>24</v>
      </c>
      <c r="C19" s="9">
        <v>22</v>
      </c>
      <c r="D19" s="72">
        <v>28483.71</v>
      </c>
      <c r="E19" s="73">
        <v>42.567</v>
      </c>
      <c r="F19" s="73">
        <v>44.317</v>
      </c>
      <c r="G19" s="73">
        <v>45.769</v>
      </c>
      <c r="H19" s="73">
        <v>5265.996</v>
      </c>
      <c r="I19" s="73">
        <v>44.274</v>
      </c>
      <c r="J19" s="11">
        <f t="shared" si="0"/>
        <v>43.186</v>
      </c>
      <c r="K19" s="21">
        <f t="shared" si="2"/>
        <v>1.46277666666667</v>
      </c>
      <c r="M19" s="63">
        <v>28483.71</v>
      </c>
      <c r="N19" s="64">
        <v>42.567</v>
      </c>
      <c r="O19" s="64">
        <v>44.317</v>
      </c>
      <c r="P19" s="64">
        <v>45.769</v>
      </c>
      <c r="Q19" s="64">
        <v>5284.343</v>
      </c>
      <c r="R19" s="64">
        <v>42.854</v>
      </c>
      <c r="S19" s="11">
        <f t="shared" si="1"/>
        <v>43.186</v>
      </c>
      <c r="T19" s="21">
        <f t="shared" si="3"/>
        <v>1.46787305555556</v>
      </c>
      <c r="U19" s="38"/>
      <c r="V19" s="39">
        <f>bdrate($D19:$D22,E19:E22,$M19:$M22,N19:N22)</f>
        <v>0</v>
      </c>
      <c r="W19" s="40">
        <f>bdrate($D19:$D22,F19:F22,$M19:$M22,O19:O22)</f>
        <v>0</v>
      </c>
      <c r="X19" s="40">
        <f>bdrate($D19:$D22,G19:G22,$M19:$M22,P19:P22)</f>
        <v>0</v>
      </c>
      <c r="Y19" s="40">
        <f>bdrate(D19:D22,J19:J22,M19:M22,S19:S22)</f>
        <v>0</v>
      </c>
      <c r="Z19" s="54">
        <f>bdrateOld($D19:$D22,E19:E22,$M19:$M22,N19:N22)</f>
        <v>0</v>
      </c>
      <c r="AA19" s="55">
        <f>bdrateOld($D19:$D22,F19:F22,$M19:$M22,O19:O22)</f>
        <v>0</v>
      </c>
      <c r="AB19" s="56">
        <f>bdrateOld($D19:$D22,G19:G22,$M19:$M22,P19:P22)</f>
        <v>0</v>
      </c>
    </row>
    <row r="20" spans="1:28">
      <c r="A20" s="12" t="s">
        <v>25</v>
      </c>
      <c r="B20" s="12"/>
      <c r="C20" s="12">
        <v>27</v>
      </c>
      <c r="D20" s="74">
        <v>15714.45</v>
      </c>
      <c r="E20" s="75">
        <v>40.729</v>
      </c>
      <c r="F20" s="75">
        <v>42.59</v>
      </c>
      <c r="G20" s="75">
        <v>43.676</v>
      </c>
      <c r="H20" s="75">
        <v>4623.681</v>
      </c>
      <c r="I20" s="75">
        <v>39.392</v>
      </c>
      <c r="J20" s="14">
        <f t="shared" si="0"/>
        <v>41.33</v>
      </c>
      <c r="K20" s="24">
        <f t="shared" si="2"/>
        <v>1.28435583333333</v>
      </c>
      <c r="M20" s="66">
        <v>15714.45</v>
      </c>
      <c r="N20" s="67">
        <v>40.729</v>
      </c>
      <c r="O20" s="67">
        <v>42.59</v>
      </c>
      <c r="P20" s="67">
        <v>43.676</v>
      </c>
      <c r="Q20" s="67">
        <v>4708.81</v>
      </c>
      <c r="R20" s="67">
        <v>37.825</v>
      </c>
      <c r="S20" s="14">
        <f t="shared" si="1"/>
        <v>41.33</v>
      </c>
      <c r="T20" s="24">
        <f t="shared" si="3"/>
        <v>1.30800277777778</v>
      </c>
      <c r="U20" s="38"/>
      <c r="V20" s="43"/>
      <c r="W20" s="44"/>
      <c r="X20" s="44"/>
      <c r="Y20" s="44"/>
      <c r="Z20" s="43"/>
      <c r="AA20" s="44"/>
      <c r="AB20" s="45"/>
    </row>
    <row r="21" spans="1:28">
      <c r="A21" s="12"/>
      <c r="B21" s="12"/>
      <c r="C21" s="12">
        <v>32</v>
      </c>
      <c r="D21" s="74">
        <v>8761.08</v>
      </c>
      <c r="E21" s="75">
        <v>38.558</v>
      </c>
      <c r="F21" s="75">
        <v>41.23</v>
      </c>
      <c r="G21" s="75">
        <v>42.149</v>
      </c>
      <c r="H21" s="75">
        <v>4197.815</v>
      </c>
      <c r="I21" s="75">
        <v>36.226</v>
      </c>
      <c r="J21" s="14">
        <f t="shared" si="0"/>
        <v>39.340875</v>
      </c>
      <c r="K21" s="24">
        <f t="shared" si="2"/>
        <v>1.16605972222222</v>
      </c>
      <c r="M21" s="66">
        <v>8761.08</v>
      </c>
      <c r="N21" s="67">
        <v>38.558</v>
      </c>
      <c r="O21" s="67">
        <v>41.23</v>
      </c>
      <c r="P21" s="67">
        <v>42.149</v>
      </c>
      <c r="Q21" s="67">
        <v>4270.718</v>
      </c>
      <c r="R21" s="67">
        <v>42.935</v>
      </c>
      <c r="S21" s="14">
        <f t="shared" si="1"/>
        <v>39.340875</v>
      </c>
      <c r="T21" s="24">
        <f t="shared" si="3"/>
        <v>1.18631055555556</v>
      </c>
      <c r="U21" s="38"/>
      <c r="V21" s="43"/>
      <c r="W21" s="44"/>
      <c r="X21" s="44"/>
      <c r="Y21" s="44"/>
      <c r="Z21" s="43"/>
      <c r="AA21" s="44"/>
      <c r="AB21" s="45"/>
    </row>
    <row r="22" ht="12.15" spans="1:28">
      <c r="A22" s="12"/>
      <c r="B22" s="15"/>
      <c r="C22" s="15">
        <v>37</v>
      </c>
      <c r="D22" s="76">
        <v>5047.78</v>
      </c>
      <c r="E22" s="77">
        <v>36.285</v>
      </c>
      <c r="F22" s="77">
        <v>39.978</v>
      </c>
      <c r="G22" s="77">
        <v>40.889</v>
      </c>
      <c r="H22" s="77">
        <v>4071.355</v>
      </c>
      <c r="I22" s="77">
        <v>48.296</v>
      </c>
      <c r="J22" s="17">
        <f t="shared" si="0"/>
        <v>37.322125</v>
      </c>
      <c r="K22" s="27">
        <f t="shared" si="2"/>
        <v>1.13093194444444</v>
      </c>
      <c r="M22" s="69">
        <v>5047.78</v>
      </c>
      <c r="N22" s="70">
        <v>36.285</v>
      </c>
      <c r="O22" s="70">
        <v>39.978</v>
      </c>
      <c r="P22" s="70">
        <v>40.889</v>
      </c>
      <c r="Q22" s="70">
        <v>4065.339</v>
      </c>
      <c r="R22" s="70">
        <v>48.675</v>
      </c>
      <c r="S22" s="17">
        <f t="shared" si="1"/>
        <v>37.322125</v>
      </c>
      <c r="T22" s="27">
        <f t="shared" si="3"/>
        <v>1.12926083333333</v>
      </c>
      <c r="U22" s="38"/>
      <c r="V22" s="47"/>
      <c r="W22" s="48"/>
      <c r="X22" s="48"/>
      <c r="Y22" s="48"/>
      <c r="Z22" s="47"/>
      <c r="AA22" s="48"/>
      <c r="AB22" s="49"/>
    </row>
    <row r="23" spans="1:28">
      <c r="A23" s="12"/>
      <c r="B23" s="9" t="s">
        <v>26</v>
      </c>
      <c r="C23" s="9">
        <v>22</v>
      </c>
      <c r="D23" s="72">
        <v>60579.14</v>
      </c>
      <c r="E23" s="73">
        <v>41.7</v>
      </c>
      <c r="F23" s="73">
        <v>43.103</v>
      </c>
      <c r="G23" s="73">
        <v>43.916</v>
      </c>
      <c r="H23" s="73">
        <v>6433.241</v>
      </c>
      <c r="I23" s="73">
        <v>55.236</v>
      </c>
      <c r="J23" s="11">
        <f t="shared" si="0"/>
        <v>42.152375</v>
      </c>
      <c r="K23" s="21">
        <f t="shared" si="2"/>
        <v>1.78701138888889</v>
      </c>
      <c r="M23" s="63">
        <v>60579.14</v>
      </c>
      <c r="N23" s="64">
        <v>41.7</v>
      </c>
      <c r="O23" s="64">
        <v>43.103</v>
      </c>
      <c r="P23" s="64">
        <v>43.916</v>
      </c>
      <c r="Q23" s="64">
        <v>6672.205</v>
      </c>
      <c r="R23" s="64">
        <v>57.101</v>
      </c>
      <c r="S23" s="11">
        <f t="shared" si="1"/>
        <v>42.152375</v>
      </c>
      <c r="T23" s="21">
        <f t="shared" si="3"/>
        <v>1.85339027777778</v>
      </c>
      <c r="U23" s="38"/>
      <c r="V23" s="39">
        <f>bdrate($D23:$D26,E23:E26,$M23:$M26,N23:N26)</f>
        <v>0</v>
      </c>
      <c r="W23" s="40">
        <f>bdrate($D23:$D26,F23:F26,$M23:$M26,O23:O26)</f>
        <v>0</v>
      </c>
      <c r="X23" s="40">
        <f>bdrate($D23:$D26,G23:G26,$M23:$M26,P23:P26)</f>
        <v>0</v>
      </c>
      <c r="Y23" s="40">
        <f>bdrate(D23:D26,J23:J26,M23:M26,S23:S26)</f>
        <v>0</v>
      </c>
      <c r="Z23" s="54">
        <f>bdrateOld($D23:$D26,E23:E26,$M23:$M26,N23:N26)</f>
        <v>0</v>
      </c>
      <c r="AA23" s="55">
        <f>bdrateOld($D23:$D26,F23:F26,$M23:$M26,O23:O26)</f>
        <v>0</v>
      </c>
      <c r="AB23" s="56">
        <f>bdrateOld($D23:$D26,G23:G26,$M23:$M26,P23:P26)</f>
        <v>0</v>
      </c>
    </row>
    <row r="24" spans="1:28">
      <c r="A24" s="12"/>
      <c r="B24" s="12"/>
      <c r="C24" s="12">
        <v>27</v>
      </c>
      <c r="D24" s="74">
        <v>33254.55</v>
      </c>
      <c r="E24" s="75">
        <v>38.504</v>
      </c>
      <c r="F24" s="75">
        <v>40.497</v>
      </c>
      <c r="G24" s="75">
        <v>41.273</v>
      </c>
      <c r="H24" s="75">
        <v>5375.865</v>
      </c>
      <c r="I24" s="75">
        <v>46.164</v>
      </c>
      <c r="J24" s="14">
        <f t="shared" si="0"/>
        <v>39.09925</v>
      </c>
      <c r="K24" s="24">
        <f t="shared" si="2"/>
        <v>1.49329583333333</v>
      </c>
      <c r="M24" s="66">
        <v>33254.55</v>
      </c>
      <c r="N24" s="67">
        <v>38.504</v>
      </c>
      <c r="O24" s="67">
        <v>40.497</v>
      </c>
      <c r="P24" s="67">
        <v>41.273</v>
      </c>
      <c r="Q24" s="67">
        <v>5515.762</v>
      </c>
      <c r="R24" s="67">
        <v>50.183</v>
      </c>
      <c r="S24" s="14">
        <f t="shared" si="1"/>
        <v>39.09925</v>
      </c>
      <c r="T24" s="24">
        <f t="shared" si="3"/>
        <v>1.53215611111111</v>
      </c>
      <c r="U24" s="38"/>
      <c r="V24" s="43"/>
      <c r="W24" s="44"/>
      <c r="X24" s="44"/>
      <c r="Y24" s="44"/>
      <c r="Z24" s="43"/>
      <c r="AA24" s="44"/>
      <c r="AB24" s="45"/>
    </row>
    <row r="25" spans="1:28">
      <c r="A25" s="12"/>
      <c r="B25" s="12"/>
      <c r="C25" s="12">
        <v>32</v>
      </c>
      <c r="D25" s="74">
        <v>17185.74</v>
      </c>
      <c r="E25" s="75">
        <v>35.397</v>
      </c>
      <c r="F25" s="75">
        <v>38.574</v>
      </c>
      <c r="G25" s="75">
        <v>39.765</v>
      </c>
      <c r="H25" s="75">
        <v>4709.304</v>
      </c>
      <c r="I25" s="75">
        <v>42.103</v>
      </c>
      <c r="J25" s="14">
        <f t="shared" si="0"/>
        <v>36.340125</v>
      </c>
      <c r="K25" s="24">
        <f t="shared" si="2"/>
        <v>1.30814</v>
      </c>
      <c r="M25" s="66">
        <v>17185.74</v>
      </c>
      <c r="N25" s="67">
        <v>35.397</v>
      </c>
      <c r="O25" s="67">
        <v>38.574</v>
      </c>
      <c r="P25" s="67">
        <v>39.765</v>
      </c>
      <c r="Q25" s="67">
        <v>4706.241</v>
      </c>
      <c r="R25" s="67">
        <v>39.292</v>
      </c>
      <c r="S25" s="14">
        <f t="shared" si="1"/>
        <v>36.340125</v>
      </c>
      <c r="T25" s="24">
        <f t="shared" si="3"/>
        <v>1.30728916666667</v>
      </c>
      <c r="U25" s="38"/>
      <c r="V25" s="43"/>
      <c r="W25" s="44"/>
      <c r="X25" s="44"/>
      <c r="Y25" s="44"/>
      <c r="Z25" s="43"/>
      <c r="AA25" s="44"/>
      <c r="AB25" s="45"/>
    </row>
    <row r="26" ht="12.15" spans="1:28">
      <c r="A26" s="12"/>
      <c r="B26" s="15"/>
      <c r="C26" s="15">
        <v>37</v>
      </c>
      <c r="D26" s="76">
        <v>8703.21</v>
      </c>
      <c r="E26" s="77">
        <v>32.69</v>
      </c>
      <c r="F26" s="77">
        <v>37.141</v>
      </c>
      <c r="G26" s="77">
        <v>38.801</v>
      </c>
      <c r="H26" s="77">
        <v>4148.786</v>
      </c>
      <c r="I26" s="77">
        <v>43.302</v>
      </c>
      <c r="J26" s="17">
        <f t="shared" si="0"/>
        <v>34.01025</v>
      </c>
      <c r="K26" s="27">
        <f t="shared" si="2"/>
        <v>1.15244055555556</v>
      </c>
      <c r="M26" s="69">
        <v>8703.21</v>
      </c>
      <c r="N26" s="70">
        <v>32.69</v>
      </c>
      <c r="O26" s="70">
        <v>37.141</v>
      </c>
      <c r="P26" s="70">
        <v>38.801</v>
      </c>
      <c r="Q26" s="70">
        <v>4175.311</v>
      </c>
      <c r="R26" s="70">
        <v>34.846</v>
      </c>
      <c r="S26" s="17">
        <f t="shared" si="1"/>
        <v>34.01025</v>
      </c>
      <c r="T26" s="27">
        <f t="shared" si="3"/>
        <v>1.15980861111111</v>
      </c>
      <c r="U26" s="38"/>
      <c r="V26" s="47"/>
      <c r="W26" s="48"/>
      <c r="X26" s="48"/>
      <c r="Y26" s="48"/>
      <c r="Z26" s="47"/>
      <c r="AA26" s="48"/>
      <c r="AB26" s="49"/>
    </row>
    <row r="27" spans="1:28">
      <c r="A27" s="12"/>
      <c r="B27" s="9" t="s">
        <v>27</v>
      </c>
      <c r="C27" s="9">
        <v>22</v>
      </c>
      <c r="D27" s="72">
        <v>129078.98</v>
      </c>
      <c r="E27" s="73">
        <v>40.771</v>
      </c>
      <c r="F27" s="73">
        <v>41.692</v>
      </c>
      <c r="G27" s="73">
        <v>44.046</v>
      </c>
      <c r="H27" s="73">
        <v>13953.875</v>
      </c>
      <c r="I27" s="73">
        <v>116.622</v>
      </c>
      <c r="J27" s="11">
        <f t="shared" si="0"/>
        <v>41.2955</v>
      </c>
      <c r="K27" s="21">
        <f t="shared" si="2"/>
        <v>3.87607638888889</v>
      </c>
      <c r="M27" s="63">
        <v>129078.98</v>
      </c>
      <c r="N27" s="64">
        <v>40.771</v>
      </c>
      <c r="O27" s="64">
        <v>41.692</v>
      </c>
      <c r="P27" s="64">
        <v>44.046</v>
      </c>
      <c r="Q27" s="64">
        <v>13842.55</v>
      </c>
      <c r="R27" s="64">
        <v>118.374</v>
      </c>
      <c r="S27" s="11">
        <f t="shared" si="1"/>
        <v>41.2955</v>
      </c>
      <c r="T27" s="21">
        <f t="shared" si="3"/>
        <v>3.84515277777778</v>
      </c>
      <c r="U27" s="38"/>
      <c r="V27" s="39">
        <f>bdrate($D27:$D30,E27:E30,$M27:$M30,N27:N30)</f>
        <v>0</v>
      </c>
      <c r="W27" s="40">
        <f>bdrate($D27:$D30,F27:F30,$M27:$M30,O27:O30)</f>
        <v>0</v>
      </c>
      <c r="X27" s="40">
        <f>bdrate($D27:$D30,G27:G30,$M27:$M30,P27:P30)</f>
        <v>0</v>
      </c>
      <c r="Y27" s="40">
        <f>bdrate(D27:D30,J27:J30,M27:M30,S27:S30)</f>
        <v>0</v>
      </c>
      <c r="Z27" s="54">
        <f>bdrateOld($D27:$D30,E27:E30,$M27:$M30,N27:N30)</f>
        <v>0</v>
      </c>
      <c r="AA27" s="55">
        <f>bdrateOld($D27:$D30,F27:F30,$M27:$M30,O27:O30)</f>
        <v>0</v>
      </c>
      <c r="AB27" s="56">
        <f>bdrateOld($D27:$D30,G27:G30,$M27:$M30,P27:P30)</f>
        <v>0</v>
      </c>
    </row>
    <row r="28" spans="1:28">
      <c r="A28" s="12"/>
      <c r="B28" s="12"/>
      <c r="C28" s="12">
        <v>27</v>
      </c>
      <c r="D28" s="74">
        <v>61600.28</v>
      </c>
      <c r="E28" s="75">
        <v>37.885</v>
      </c>
      <c r="F28" s="75">
        <v>39.446</v>
      </c>
      <c r="G28" s="75">
        <v>41.913</v>
      </c>
      <c r="H28" s="75">
        <v>10905.893</v>
      </c>
      <c r="I28" s="75">
        <v>89.439</v>
      </c>
      <c r="J28" s="14">
        <f t="shared" si="0"/>
        <v>38.583625</v>
      </c>
      <c r="K28" s="24">
        <f t="shared" si="2"/>
        <v>3.02941472222222</v>
      </c>
      <c r="M28" s="66">
        <v>61600.28</v>
      </c>
      <c r="N28" s="67">
        <v>37.885</v>
      </c>
      <c r="O28" s="67">
        <v>39.446</v>
      </c>
      <c r="P28" s="67">
        <v>41.913</v>
      </c>
      <c r="Q28" s="67">
        <v>10843.969</v>
      </c>
      <c r="R28" s="67">
        <v>95.173</v>
      </c>
      <c r="S28" s="14">
        <f t="shared" si="1"/>
        <v>38.583625</v>
      </c>
      <c r="T28" s="24">
        <f t="shared" si="3"/>
        <v>3.01221361111111</v>
      </c>
      <c r="U28" s="38"/>
      <c r="V28" s="43"/>
      <c r="W28" s="44"/>
      <c r="X28" s="44"/>
      <c r="Y28" s="44"/>
      <c r="Z28" s="43"/>
      <c r="AA28" s="44"/>
      <c r="AB28" s="45"/>
    </row>
    <row r="29" spans="1:28">
      <c r="A29" s="12"/>
      <c r="B29" s="12"/>
      <c r="C29" s="12">
        <v>32</v>
      </c>
      <c r="D29" s="74">
        <v>33130.08</v>
      </c>
      <c r="E29" s="75">
        <v>35.486</v>
      </c>
      <c r="F29" s="75">
        <v>38.246</v>
      </c>
      <c r="G29" s="75">
        <v>40.095</v>
      </c>
      <c r="H29" s="75">
        <v>9379.955</v>
      </c>
      <c r="I29" s="75">
        <v>79.098</v>
      </c>
      <c r="J29" s="14">
        <f t="shared" si="0"/>
        <v>36.407125</v>
      </c>
      <c r="K29" s="24">
        <f t="shared" si="2"/>
        <v>2.60554305555556</v>
      </c>
      <c r="M29" s="66">
        <v>33130.08</v>
      </c>
      <c r="N29" s="67">
        <v>35.486</v>
      </c>
      <c r="O29" s="67">
        <v>38.246</v>
      </c>
      <c r="P29" s="67">
        <v>40.095</v>
      </c>
      <c r="Q29" s="67">
        <v>9594.641</v>
      </c>
      <c r="R29" s="67">
        <v>78.616</v>
      </c>
      <c r="S29" s="14">
        <f t="shared" si="1"/>
        <v>36.407125</v>
      </c>
      <c r="T29" s="24">
        <f t="shared" si="3"/>
        <v>2.66517805555556</v>
      </c>
      <c r="U29" s="38"/>
      <c r="V29" s="43"/>
      <c r="W29" s="44"/>
      <c r="X29" s="44"/>
      <c r="Y29" s="44"/>
      <c r="Z29" s="43"/>
      <c r="AA29" s="44"/>
      <c r="AB29" s="45"/>
    </row>
    <row r="30" ht="12.15" spans="1:28">
      <c r="A30" s="12"/>
      <c r="B30" s="15"/>
      <c r="C30" s="15">
        <v>37</v>
      </c>
      <c r="D30" s="76">
        <v>18314.55</v>
      </c>
      <c r="E30" s="77">
        <v>33.09</v>
      </c>
      <c r="F30" s="77">
        <v>37.187</v>
      </c>
      <c r="G30" s="77">
        <v>38.42</v>
      </c>
      <c r="H30" s="77">
        <v>8797.828</v>
      </c>
      <c r="I30" s="77">
        <v>69.762</v>
      </c>
      <c r="J30" s="17">
        <f t="shared" si="0"/>
        <v>34.268375</v>
      </c>
      <c r="K30" s="27">
        <f t="shared" si="2"/>
        <v>2.44384111111111</v>
      </c>
      <c r="M30" s="69">
        <v>18314.55</v>
      </c>
      <c r="N30" s="70">
        <v>33.09</v>
      </c>
      <c r="O30" s="70">
        <v>37.187</v>
      </c>
      <c r="P30" s="70">
        <v>38.42</v>
      </c>
      <c r="Q30" s="70">
        <v>8787.974</v>
      </c>
      <c r="R30" s="70">
        <v>73.133</v>
      </c>
      <c r="S30" s="17">
        <f t="shared" si="1"/>
        <v>34.268375</v>
      </c>
      <c r="T30" s="27">
        <f t="shared" si="3"/>
        <v>2.44110388888889</v>
      </c>
      <c r="U30" s="38"/>
      <c r="V30" s="47"/>
      <c r="W30" s="48"/>
      <c r="X30" s="48"/>
      <c r="Y30" s="48"/>
      <c r="Z30" s="47"/>
      <c r="AA30" s="48"/>
      <c r="AB30" s="49"/>
    </row>
    <row r="31" spans="1:28">
      <c r="A31" s="12"/>
      <c r="B31" s="9" t="s">
        <v>28</v>
      </c>
      <c r="C31" s="9">
        <v>22</v>
      </c>
      <c r="D31" s="72">
        <v>91963.67</v>
      </c>
      <c r="E31" s="73">
        <v>41.572</v>
      </c>
      <c r="F31" s="73">
        <v>44.339</v>
      </c>
      <c r="G31" s="73">
        <v>45.834</v>
      </c>
      <c r="H31" s="73">
        <v>12780.806</v>
      </c>
      <c r="I31" s="73">
        <v>100.942</v>
      </c>
      <c r="J31" s="11">
        <f t="shared" si="0"/>
        <v>42.450625</v>
      </c>
      <c r="K31" s="21">
        <f t="shared" si="2"/>
        <v>3.55022388888889</v>
      </c>
      <c r="M31" s="63">
        <v>91963.67</v>
      </c>
      <c r="N31" s="64">
        <v>41.572</v>
      </c>
      <c r="O31" s="64">
        <v>44.339</v>
      </c>
      <c r="P31" s="64">
        <v>45.834</v>
      </c>
      <c r="Q31" s="64">
        <v>12747.607</v>
      </c>
      <c r="R31" s="64">
        <v>108.495</v>
      </c>
      <c r="S31" s="11">
        <f t="shared" si="1"/>
        <v>42.450625</v>
      </c>
      <c r="T31" s="21">
        <f t="shared" si="3"/>
        <v>3.54100194444444</v>
      </c>
      <c r="U31" s="38"/>
      <c r="V31" s="39">
        <f>bdrate($D31:$D34,E31:E34,$M31:$M34,N31:N34)</f>
        <v>0</v>
      </c>
      <c r="W31" s="40">
        <f>bdrate($D31:$D34,F31:F34,$M31:$M34,O31:O34)</f>
        <v>0</v>
      </c>
      <c r="X31" s="40">
        <f>bdrate($D31:$D34,G31:G34,$M31:$M34,P31:P34)</f>
        <v>0</v>
      </c>
      <c r="Y31" s="40">
        <f>bdrate(D31:D34,J31:J34,M31:M34,S31:S34)</f>
        <v>0</v>
      </c>
      <c r="Z31" s="54">
        <f>bdrateOld($D31:$D34,E31:E34,$M31:$M34,N31:N34)</f>
        <v>0</v>
      </c>
      <c r="AA31" s="55">
        <f>bdrateOld($D31:$D34,F31:F34,$M31:$M34,O31:O34)</f>
        <v>0</v>
      </c>
      <c r="AB31" s="56">
        <f>bdrateOld($D31:$D34,G31:G34,$M31:$M34,P31:P34)</f>
        <v>0</v>
      </c>
    </row>
    <row r="32" spans="1:28">
      <c r="A32" s="12"/>
      <c r="B32" s="12"/>
      <c r="C32" s="12">
        <v>27</v>
      </c>
      <c r="D32" s="74">
        <v>38232.86</v>
      </c>
      <c r="E32" s="75">
        <v>38.581</v>
      </c>
      <c r="F32" s="75">
        <v>42.678</v>
      </c>
      <c r="G32" s="75">
        <v>43.52</v>
      </c>
      <c r="H32" s="75">
        <v>9831.085</v>
      </c>
      <c r="I32" s="75">
        <v>80.546</v>
      </c>
      <c r="J32" s="14">
        <f t="shared" si="0"/>
        <v>39.7105</v>
      </c>
      <c r="K32" s="24">
        <f t="shared" si="2"/>
        <v>2.73085694444444</v>
      </c>
      <c r="M32" s="66">
        <v>38232.86</v>
      </c>
      <c r="N32" s="67">
        <v>38.581</v>
      </c>
      <c r="O32" s="67">
        <v>42.678</v>
      </c>
      <c r="P32" s="67">
        <v>43.52</v>
      </c>
      <c r="Q32" s="67">
        <v>10034.27</v>
      </c>
      <c r="R32" s="67">
        <v>82.768</v>
      </c>
      <c r="S32" s="14">
        <f t="shared" si="1"/>
        <v>39.7105</v>
      </c>
      <c r="T32" s="24">
        <f t="shared" si="3"/>
        <v>2.78729722222222</v>
      </c>
      <c r="U32" s="38"/>
      <c r="V32" s="43"/>
      <c r="W32" s="44"/>
      <c r="X32" s="44"/>
      <c r="Y32" s="44"/>
      <c r="Z32" s="43"/>
      <c r="AA32" s="44"/>
      <c r="AB32" s="45"/>
    </row>
    <row r="33" spans="1:28">
      <c r="A33" s="12"/>
      <c r="B33" s="12"/>
      <c r="C33" s="12">
        <v>32</v>
      </c>
      <c r="D33" s="74">
        <v>19732.74</v>
      </c>
      <c r="E33" s="75">
        <v>36.616</v>
      </c>
      <c r="F33" s="75">
        <v>41.123</v>
      </c>
      <c r="G33" s="75">
        <v>41.398</v>
      </c>
      <c r="H33" s="75">
        <v>8634.783</v>
      </c>
      <c r="I33" s="75">
        <v>73.213</v>
      </c>
      <c r="J33" s="14">
        <f t="shared" si="0"/>
        <v>37.777125</v>
      </c>
      <c r="K33" s="24">
        <f t="shared" si="2"/>
        <v>2.39855083333333</v>
      </c>
      <c r="M33" s="66">
        <v>19732.74</v>
      </c>
      <c r="N33" s="67">
        <v>36.616</v>
      </c>
      <c r="O33" s="67">
        <v>41.123</v>
      </c>
      <c r="P33" s="67">
        <v>41.398</v>
      </c>
      <c r="Q33" s="67">
        <v>8776.166</v>
      </c>
      <c r="R33" s="67">
        <v>96.751</v>
      </c>
      <c r="S33" s="14">
        <f t="shared" si="1"/>
        <v>37.777125</v>
      </c>
      <c r="T33" s="24">
        <f t="shared" si="3"/>
        <v>2.43782388888889</v>
      </c>
      <c r="U33" s="38"/>
      <c r="V33" s="43"/>
      <c r="W33" s="44"/>
      <c r="X33" s="44"/>
      <c r="Y33" s="44"/>
      <c r="Z33" s="43"/>
      <c r="AA33" s="44"/>
      <c r="AB33" s="45"/>
    </row>
    <row r="34" ht="12.15" spans="1:28">
      <c r="A34" s="12"/>
      <c r="B34" s="15"/>
      <c r="C34" s="15">
        <v>37</v>
      </c>
      <c r="D34" s="76">
        <v>11351.2</v>
      </c>
      <c r="E34" s="77">
        <v>34.7</v>
      </c>
      <c r="F34" s="77">
        <v>39.677</v>
      </c>
      <c r="G34" s="77">
        <v>39.446</v>
      </c>
      <c r="H34" s="77">
        <v>8120.163</v>
      </c>
      <c r="I34" s="77">
        <v>67.725</v>
      </c>
      <c r="J34" s="17">
        <f t="shared" si="0"/>
        <v>35.915375</v>
      </c>
      <c r="K34" s="27">
        <f t="shared" si="2"/>
        <v>2.25560083333333</v>
      </c>
      <c r="M34" s="69">
        <v>11351.2</v>
      </c>
      <c r="N34" s="70">
        <v>34.7</v>
      </c>
      <c r="O34" s="70">
        <v>39.677</v>
      </c>
      <c r="P34" s="70">
        <v>39.446</v>
      </c>
      <c r="Q34" s="70">
        <v>8212.675</v>
      </c>
      <c r="R34" s="70">
        <v>70.114</v>
      </c>
      <c r="S34" s="17">
        <f t="shared" si="1"/>
        <v>35.915375</v>
      </c>
      <c r="T34" s="27">
        <f t="shared" si="3"/>
        <v>2.28129861111111</v>
      </c>
      <c r="U34" s="38"/>
      <c r="V34" s="47"/>
      <c r="W34" s="48"/>
      <c r="X34" s="48"/>
      <c r="Y34" s="48"/>
      <c r="Z34" s="47"/>
      <c r="AA34" s="48"/>
      <c r="AB34" s="49"/>
    </row>
    <row r="35" spans="1:28">
      <c r="A35" s="12"/>
      <c r="B35" s="9" t="s">
        <v>29</v>
      </c>
      <c r="C35" s="9">
        <v>22</v>
      </c>
      <c r="D35" s="72">
        <v>205932.11</v>
      </c>
      <c r="E35" s="73">
        <v>42.631</v>
      </c>
      <c r="F35" s="73">
        <v>42.771</v>
      </c>
      <c r="G35" s="73">
        <v>44.428</v>
      </c>
      <c r="H35" s="73">
        <v>18309.184</v>
      </c>
      <c r="I35" s="73">
        <v>145.129</v>
      </c>
      <c r="J35" s="11">
        <f t="shared" si="0"/>
        <v>42.873125</v>
      </c>
      <c r="K35" s="21">
        <f t="shared" si="2"/>
        <v>5.08588444444444</v>
      </c>
      <c r="M35" s="63">
        <v>205932.11</v>
      </c>
      <c r="N35" s="64">
        <v>42.631</v>
      </c>
      <c r="O35" s="64">
        <v>42.771</v>
      </c>
      <c r="P35" s="64">
        <v>44.428</v>
      </c>
      <c r="Q35" s="64">
        <v>18421.836</v>
      </c>
      <c r="R35" s="64">
        <v>145.955</v>
      </c>
      <c r="S35" s="11">
        <f t="shared" si="1"/>
        <v>42.873125</v>
      </c>
      <c r="T35" s="21">
        <f t="shared" si="3"/>
        <v>5.11717666666667</v>
      </c>
      <c r="U35" s="38"/>
      <c r="V35" s="39">
        <f>bdrate($D35:$D38,E35:E38,$M35:$M38,N35:N38)</f>
        <v>0</v>
      </c>
      <c r="W35" s="40">
        <f>bdrate($D35:$D38,F35:F38,$M35:$M38,O35:O38)</f>
        <v>0</v>
      </c>
      <c r="X35" s="40">
        <f>bdrate($D35:$D38,G35:G38,$M35:$M38,P35:P38)</f>
        <v>0</v>
      </c>
      <c r="Y35" s="40">
        <f>bdrate(D35:D38,J35:J38,M35:M38,S35:S38)</f>
        <v>0</v>
      </c>
      <c r="Z35" s="54">
        <f>bdrateOld($D35:$D38,E35:E38,$M35:$M38,N35:N38)</f>
        <v>0</v>
      </c>
      <c r="AA35" s="55">
        <f>bdrateOld($D35:$D38,F35:F38,$M35:$M38,O35:O38)</f>
        <v>0</v>
      </c>
      <c r="AB35" s="56">
        <f>bdrateOld($D35:$D38,G35:G38,$M35:$M38,P35:P38)</f>
        <v>0</v>
      </c>
    </row>
    <row r="36" spans="1:28">
      <c r="A36" s="12"/>
      <c r="B36" s="12"/>
      <c r="C36" s="12">
        <v>27</v>
      </c>
      <c r="D36" s="74">
        <v>99371.08</v>
      </c>
      <c r="E36" s="75">
        <v>37.155</v>
      </c>
      <c r="F36" s="75">
        <v>40.726</v>
      </c>
      <c r="G36" s="75">
        <v>42.946</v>
      </c>
      <c r="H36" s="75">
        <v>14382.813</v>
      </c>
      <c r="I36" s="75">
        <v>128.727</v>
      </c>
      <c r="J36" s="14">
        <f t="shared" si="0"/>
        <v>38.32525</v>
      </c>
      <c r="K36" s="24">
        <f t="shared" si="2"/>
        <v>3.99522583333333</v>
      </c>
      <c r="M36" s="66">
        <v>99371.08</v>
      </c>
      <c r="N36" s="67">
        <v>37.155</v>
      </c>
      <c r="O36" s="67">
        <v>40.726</v>
      </c>
      <c r="P36" s="67">
        <v>42.946</v>
      </c>
      <c r="Q36" s="67">
        <v>14484.492</v>
      </c>
      <c r="R36" s="67">
        <v>116.335</v>
      </c>
      <c r="S36" s="14">
        <f t="shared" si="1"/>
        <v>38.32525</v>
      </c>
      <c r="T36" s="24">
        <f t="shared" si="3"/>
        <v>4.02347</v>
      </c>
      <c r="U36" s="38"/>
      <c r="V36" s="43"/>
      <c r="W36" s="44"/>
      <c r="X36" s="44"/>
      <c r="Y36" s="44"/>
      <c r="Z36" s="43"/>
      <c r="AA36" s="44"/>
      <c r="AB36" s="45"/>
    </row>
    <row r="37" spans="1:28">
      <c r="A37" s="12"/>
      <c r="B37" s="12"/>
      <c r="C37" s="12">
        <v>32</v>
      </c>
      <c r="D37" s="74">
        <v>51255.23</v>
      </c>
      <c r="E37" s="75">
        <v>34.295</v>
      </c>
      <c r="F37" s="75">
        <v>39.262</v>
      </c>
      <c r="G37" s="75">
        <v>41.847</v>
      </c>
      <c r="H37" s="75">
        <v>11939.013</v>
      </c>
      <c r="I37" s="75">
        <v>105.02</v>
      </c>
      <c r="J37" s="14">
        <f t="shared" si="0"/>
        <v>35.859875</v>
      </c>
      <c r="K37" s="24">
        <f t="shared" si="2"/>
        <v>3.3163925</v>
      </c>
      <c r="M37" s="66">
        <v>51255.23</v>
      </c>
      <c r="N37" s="67">
        <v>34.295</v>
      </c>
      <c r="O37" s="67">
        <v>39.262</v>
      </c>
      <c r="P37" s="67">
        <v>41.847</v>
      </c>
      <c r="Q37" s="67">
        <v>12227.671</v>
      </c>
      <c r="R37" s="67">
        <v>103.762</v>
      </c>
      <c r="S37" s="14">
        <f t="shared" si="1"/>
        <v>35.859875</v>
      </c>
      <c r="T37" s="24">
        <f t="shared" si="3"/>
        <v>3.39657527777778</v>
      </c>
      <c r="U37" s="38"/>
      <c r="V37" s="43"/>
      <c r="W37" s="44"/>
      <c r="X37" s="44"/>
      <c r="Y37" s="44"/>
      <c r="Z37" s="43"/>
      <c r="AA37" s="44"/>
      <c r="AB37" s="45"/>
    </row>
    <row r="38" ht="12.15" spans="1:28">
      <c r="A38" s="15"/>
      <c r="B38" s="15"/>
      <c r="C38" s="15">
        <v>37</v>
      </c>
      <c r="D38" s="76">
        <v>28833.32</v>
      </c>
      <c r="E38" s="77">
        <v>31.795</v>
      </c>
      <c r="F38" s="77">
        <v>38.195</v>
      </c>
      <c r="G38" s="77">
        <v>40.83</v>
      </c>
      <c r="H38" s="77">
        <v>10940.419</v>
      </c>
      <c r="I38" s="77">
        <v>89.462</v>
      </c>
      <c r="J38" s="17">
        <f t="shared" si="0"/>
        <v>33.724375</v>
      </c>
      <c r="K38" s="27">
        <f t="shared" si="2"/>
        <v>3.03900527777778</v>
      </c>
      <c r="M38" s="69">
        <v>28833.32</v>
      </c>
      <c r="N38" s="70">
        <v>31.795</v>
      </c>
      <c r="O38" s="70">
        <v>38.195</v>
      </c>
      <c r="P38" s="70">
        <v>40.83</v>
      </c>
      <c r="Q38" s="70">
        <v>11298.132</v>
      </c>
      <c r="R38" s="70">
        <v>89.701</v>
      </c>
      <c r="S38" s="17">
        <f t="shared" si="1"/>
        <v>33.724375</v>
      </c>
      <c r="T38" s="27">
        <f t="shared" si="3"/>
        <v>3.13837</v>
      </c>
      <c r="U38" s="38"/>
      <c r="V38" s="47"/>
      <c r="W38" s="48"/>
      <c r="X38" s="48"/>
      <c r="Y38" s="48"/>
      <c r="Z38" s="47"/>
      <c r="AA38" s="48"/>
      <c r="AB38" s="49"/>
    </row>
    <row r="39" spans="1:28">
      <c r="A39" s="9" t="s">
        <v>30</v>
      </c>
      <c r="B39" s="9" t="s">
        <v>31</v>
      </c>
      <c r="C39" s="9">
        <v>22</v>
      </c>
      <c r="D39" s="72">
        <v>27145.21</v>
      </c>
      <c r="E39" s="73">
        <v>41.501</v>
      </c>
      <c r="F39" s="73">
        <v>43.788</v>
      </c>
      <c r="G39" s="73">
        <v>44.467</v>
      </c>
      <c r="H39" s="73">
        <v>2686.23</v>
      </c>
      <c r="I39" s="73">
        <v>35.088</v>
      </c>
      <c r="J39" s="11">
        <f t="shared" si="0"/>
        <v>42.157625</v>
      </c>
      <c r="K39" s="21">
        <f t="shared" si="2"/>
        <v>0.746175</v>
      </c>
      <c r="M39" s="63">
        <v>27145.21</v>
      </c>
      <c r="N39" s="64">
        <v>41.501</v>
      </c>
      <c r="O39" s="64">
        <v>43.788</v>
      </c>
      <c r="P39" s="64">
        <v>44.467</v>
      </c>
      <c r="Q39" s="64">
        <v>2710.837</v>
      </c>
      <c r="R39" s="64">
        <v>33.472</v>
      </c>
      <c r="S39" s="11">
        <f t="shared" si="1"/>
        <v>42.157625</v>
      </c>
      <c r="T39" s="21">
        <f t="shared" si="3"/>
        <v>0.753010277777778</v>
      </c>
      <c r="U39" s="38"/>
      <c r="V39" s="39">
        <f>bdrate($D39:$D42,E39:E42,$M39:$M42,N39:N42)</f>
        <v>0</v>
      </c>
      <c r="W39" s="40">
        <f>bdrate($D39:$D42,F39:F42,$M39:$M42,O39:O42)</f>
        <v>0</v>
      </c>
      <c r="X39" s="40">
        <f>bdrate($D39:$D42,G39:G42,$M39:$M42,P39:P42)</f>
        <v>0</v>
      </c>
      <c r="Y39" s="40">
        <f>bdrate(D39:D42,J39:J42,M39:M42,S39:S42)</f>
        <v>0</v>
      </c>
      <c r="Z39" s="54">
        <f>bdrateOld($D39:$D42,E39:E42,$M39:$M42,N39:N42)</f>
        <v>0</v>
      </c>
      <c r="AA39" s="55">
        <f>bdrateOld($D39:$D42,F39:F42,$M39:$M42,O39:O42)</f>
        <v>0</v>
      </c>
      <c r="AB39" s="56">
        <f>bdrateOld($D39:$D42,G39:G42,$M39:$M42,P39:P42)</f>
        <v>0</v>
      </c>
    </row>
    <row r="40" spans="1:28">
      <c r="A40" s="12" t="s">
        <v>32</v>
      </c>
      <c r="B40" s="12"/>
      <c r="C40" s="12">
        <v>27</v>
      </c>
      <c r="D40" s="74">
        <v>15110.42</v>
      </c>
      <c r="E40" s="75">
        <v>37.922</v>
      </c>
      <c r="F40" s="75">
        <v>40.862</v>
      </c>
      <c r="G40" s="75">
        <v>41.045</v>
      </c>
      <c r="H40" s="75">
        <v>2175.991</v>
      </c>
      <c r="I40" s="75">
        <v>28.711</v>
      </c>
      <c r="J40" s="14">
        <f t="shared" si="0"/>
        <v>38.679875</v>
      </c>
      <c r="K40" s="24">
        <f t="shared" si="2"/>
        <v>0.604441944444444</v>
      </c>
      <c r="M40" s="66">
        <v>15110.42</v>
      </c>
      <c r="N40" s="67">
        <v>37.922</v>
      </c>
      <c r="O40" s="67">
        <v>40.862</v>
      </c>
      <c r="P40" s="67">
        <v>41.045</v>
      </c>
      <c r="Q40" s="67">
        <v>2203.953</v>
      </c>
      <c r="R40" s="67">
        <v>31.378</v>
      </c>
      <c r="S40" s="14">
        <f t="shared" si="1"/>
        <v>38.679875</v>
      </c>
      <c r="T40" s="24">
        <f t="shared" si="3"/>
        <v>0.612209166666667</v>
      </c>
      <c r="U40" s="38"/>
      <c r="V40" s="43"/>
      <c r="W40" s="44"/>
      <c r="X40" s="44"/>
      <c r="Y40" s="44"/>
      <c r="Z40" s="43"/>
      <c r="AA40" s="44"/>
      <c r="AB40" s="45"/>
    </row>
    <row r="41" spans="1:28">
      <c r="A41" s="12"/>
      <c r="B41" s="12"/>
      <c r="C41" s="12">
        <v>32</v>
      </c>
      <c r="D41" s="74">
        <v>8116.12</v>
      </c>
      <c r="E41" s="75">
        <v>35.061</v>
      </c>
      <c r="F41" s="75">
        <v>38.125</v>
      </c>
      <c r="G41" s="75">
        <v>38.112</v>
      </c>
      <c r="H41" s="75">
        <v>1828.31</v>
      </c>
      <c r="I41" s="75">
        <v>27.762</v>
      </c>
      <c r="J41" s="14">
        <f t="shared" si="0"/>
        <v>35.825375</v>
      </c>
      <c r="K41" s="24">
        <f t="shared" si="2"/>
        <v>0.507863888888889</v>
      </c>
      <c r="M41" s="66">
        <v>8116.12</v>
      </c>
      <c r="N41" s="67">
        <v>35.061</v>
      </c>
      <c r="O41" s="67">
        <v>38.125</v>
      </c>
      <c r="P41" s="67">
        <v>38.112</v>
      </c>
      <c r="Q41" s="67">
        <v>1840.855</v>
      </c>
      <c r="R41" s="67">
        <v>41.845</v>
      </c>
      <c r="S41" s="14">
        <f t="shared" si="1"/>
        <v>35.825375</v>
      </c>
      <c r="T41" s="24">
        <f t="shared" si="3"/>
        <v>0.511348611111111</v>
      </c>
      <c r="U41" s="38"/>
      <c r="V41" s="43"/>
      <c r="W41" s="44"/>
      <c r="X41" s="44"/>
      <c r="Y41" s="44"/>
      <c r="Z41" s="43"/>
      <c r="AA41" s="44"/>
      <c r="AB41" s="45"/>
    </row>
    <row r="42" ht="12.15" spans="1:28">
      <c r="A42" s="12"/>
      <c r="B42" s="15"/>
      <c r="C42" s="15">
        <v>37</v>
      </c>
      <c r="D42" s="76">
        <v>4484.69</v>
      </c>
      <c r="E42" s="77">
        <v>32.522</v>
      </c>
      <c r="F42" s="77">
        <v>35.967</v>
      </c>
      <c r="G42" s="77">
        <v>35.722</v>
      </c>
      <c r="H42" s="77">
        <v>1687.991</v>
      </c>
      <c r="I42" s="77">
        <v>29.944</v>
      </c>
      <c r="J42" s="17">
        <f t="shared" si="0"/>
        <v>33.352625</v>
      </c>
      <c r="K42" s="27">
        <f t="shared" si="2"/>
        <v>0.468886388888889</v>
      </c>
      <c r="M42" s="69">
        <v>4484.69</v>
      </c>
      <c r="N42" s="70">
        <v>32.522</v>
      </c>
      <c r="O42" s="70">
        <v>35.967</v>
      </c>
      <c r="P42" s="70">
        <v>35.722</v>
      </c>
      <c r="Q42" s="70">
        <v>1717.833</v>
      </c>
      <c r="R42" s="70">
        <v>73.146</v>
      </c>
      <c r="S42" s="17">
        <f t="shared" si="1"/>
        <v>33.352625</v>
      </c>
      <c r="T42" s="27">
        <f t="shared" si="3"/>
        <v>0.477175833333333</v>
      </c>
      <c r="U42" s="38"/>
      <c r="V42" s="47"/>
      <c r="W42" s="48"/>
      <c r="X42" s="48"/>
      <c r="Y42" s="48"/>
      <c r="Z42" s="47"/>
      <c r="AA42" s="48"/>
      <c r="AB42" s="49"/>
    </row>
    <row r="43" spans="1:28">
      <c r="A43" s="12"/>
      <c r="B43" s="9" t="s">
        <v>33</v>
      </c>
      <c r="C43" s="9">
        <v>22</v>
      </c>
      <c r="D43" s="72">
        <v>28176.56</v>
      </c>
      <c r="E43" s="73">
        <v>41.911</v>
      </c>
      <c r="F43" s="73">
        <v>43.932</v>
      </c>
      <c r="G43" s="73">
        <v>45.301</v>
      </c>
      <c r="H43" s="73">
        <v>3075.652</v>
      </c>
      <c r="I43" s="73">
        <v>41.859</v>
      </c>
      <c r="J43" s="11">
        <f t="shared" si="0"/>
        <v>42.587375</v>
      </c>
      <c r="K43" s="21">
        <f t="shared" si="2"/>
        <v>0.854347777777778</v>
      </c>
      <c r="M43" s="63">
        <v>28176.56</v>
      </c>
      <c r="N43" s="64">
        <v>41.911</v>
      </c>
      <c r="O43" s="64">
        <v>43.932</v>
      </c>
      <c r="P43" s="64">
        <v>45.301</v>
      </c>
      <c r="Q43" s="64">
        <v>3095.259</v>
      </c>
      <c r="R43" s="64">
        <v>64.716</v>
      </c>
      <c r="S43" s="11">
        <f t="shared" si="1"/>
        <v>42.587375</v>
      </c>
      <c r="T43" s="21">
        <f t="shared" si="3"/>
        <v>0.859794166666667</v>
      </c>
      <c r="U43" s="38"/>
      <c r="V43" s="39">
        <f>bdrate($D43:$D46,E43:E46,$M43:$M46,N43:N46)</f>
        <v>0</v>
      </c>
      <c r="W43" s="40">
        <f>bdrate($D43:$D46,F43:F46,$M43:$M46,O43:O46)</f>
        <v>0</v>
      </c>
      <c r="X43" s="40">
        <f>bdrate($D43:$D46,G43:G46,$M43:$M46,P43:P46)</f>
        <v>0</v>
      </c>
      <c r="Y43" s="40">
        <f>bdrate(D43:D46,J43:J46,M43:M46,S43:S46)</f>
        <v>0</v>
      </c>
      <c r="Z43" s="54">
        <f>bdrateOld($D43:$D46,E43:E46,$M43:$M46,N43:N46)</f>
        <v>0</v>
      </c>
      <c r="AA43" s="55">
        <f>bdrateOld($D43:$D46,F43:F46,$M43:$M46,O43:O46)</f>
        <v>0</v>
      </c>
      <c r="AB43" s="56">
        <f>bdrateOld($D43:$D46,G43:G46,$M43:$M46,P43:P46)</f>
        <v>0</v>
      </c>
    </row>
    <row r="44" spans="1:28">
      <c r="A44" s="12"/>
      <c r="B44" s="12"/>
      <c r="C44" s="12">
        <v>27</v>
      </c>
      <c r="D44" s="74">
        <v>16855.67</v>
      </c>
      <c r="E44" s="75">
        <v>38.824</v>
      </c>
      <c r="F44" s="75">
        <v>41.539</v>
      </c>
      <c r="G44" s="75">
        <v>42.695</v>
      </c>
      <c r="H44" s="75">
        <v>2555.051</v>
      </c>
      <c r="I44" s="75">
        <v>54.101</v>
      </c>
      <c r="J44" s="14">
        <f t="shared" si="0"/>
        <v>39.64725</v>
      </c>
      <c r="K44" s="24">
        <f t="shared" si="2"/>
        <v>0.709736388888889</v>
      </c>
      <c r="M44" s="66">
        <v>16855.67</v>
      </c>
      <c r="N44" s="67">
        <v>38.824</v>
      </c>
      <c r="O44" s="67">
        <v>41.539</v>
      </c>
      <c r="P44" s="67">
        <v>42.695</v>
      </c>
      <c r="Q44" s="67">
        <v>2629.471</v>
      </c>
      <c r="R44" s="67">
        <v>38.702</v>
      </c>
      <c r="S44" s="14">
        <f t="shared" si="1"/>
        <v>39.64725</v>
      </c>
      <c r="T44" s="24">
        <f t="shared" si="3"/>
        <v>0.730408611111111</v>
      </c>
      <c r="U44" s="38"/>
      <c r="V44" s="43"/>
      <c r="W44" s="44"/>
      <c r="X44" s="44"/>
      <c r="Y44" s="44"/>
      <c r="Z44" s="43"/>
      <c r="AA44" s="44"/>
      <c r="AB44" s="45"/>
    </row>
    <row r="45" spans="1:28">
      <c r="A45" s="12"/>
      <c r="B45" s="12"/>
      <c r="C45" s="12">
        <v>32</v>
      </c>
      <c r="D45" s="74">
        <v>9767.16</v>
      </c>
      <c r="E45" s="75">
        <v>35.679</v>
      </c>
      <c r="F45" s="75">
        <v>39.666</v>
      </c>
      <c r="G45" s="75">
        <v>40.62</v>
      </c>
      <c r="H45" s="75">
        <v>2201.05</v>
      </c>
      <c r="I45" s="75">
        <v>81.768</v>
      </c>
      <c r="J45" s="14">
        <f t="shared" si="0"/>
        <v>36.795</v>
      </c>
      <c r="K45" s="24">
        <f t="shared" si="2"/>
        <v>0.611402777777778</v>
      </c>
      <c r="M45" s="66">
        <v>9767.16</v>
      </c>
      <c r="N45" s="67">
        <v>35.679</v>
      </c>
      <c r="O45" s="67">
        <v>39.666</v>
      </c>
      <c r="P45" s="67">
        <v>40.62</v>
      </c>
      <c r="Q45" s="67">
        <v>2379.143</v>
      </c>
      <c r="R45" s="67">
        <v>42.377</v>
      </c>
      <c r="S45" s="14">
        <f t="shared" si="1"/>
        <v>36.795</v>
      </c>
      <c r="T45" s="24">
        <f t="shared" si="3"/>
        <v>0.660873055555556</v>
      </c>
      <c r="U45" s="38"/>
      <c r="V45" s="43"/>
      <c r="W45" s="44"/>
      <c r="X45" s="44"/>
      <c r="Y45" s="44"/>
      <c r="Z45" s="43"/>
      <c r="AA45" s="44"/>
      <c r="AB45" s="45"/>
    </row>
    <row r="46" ht="12.15" spans="1:28">
      <c r="A46" s="12"/>
      <c r="B46" s="15"/>
      <c r="C46" s="15">
        <v>37</v>
      </c>
      <c r="D46" s="76">
        <v>5585.32</v>
      </c>
      <c r="E46" s="77">
        <v>32.675</v>
      </c>
      <c r="F46" s="77">
        <v>38.05</v>
      </c>
      <c r="G46" s="77">
        <v>38.926</v>
      </c>
      <c r="H46" s="77">
        <v>2023.458</v>
      </c>
      <c r="I46" s="77">
        <v>33.801</v>
      </c>
      <c r="J46" s="17">
        <f t="shared" si="0"/>
        <v>34.12825</v>
      </c>
      <c r="K46" s="27">
        <f t="shared" si="2"/>
        <v>0.562071666666667</v>
      </c>
      <c r="M46" s="69">
        <v>5585.32</v>
      </c>
      <c r="N46" s="70">
        <v>32.675</v>
      </c>
      <c r="O46" s="70">
        <v>38.05</v>
      </c>
      <c r="P46" s="70">
        <v>38.926</v>
      </c>
      <c r="Q46" s="70">
        <v>2028.362</v>
      </c>
      <c r="R46" s="70">
        <v>38.395</v>
      </c>
      <c r="S46" s="17">
        <f t="shared" si="1"/>
        <v>34.12825</v>
      </c>
      <c r="T46" s="27">
        <f t="shared" si="3"/>
        <v>0.563433888888889</v>
      </c>
      <c r="U46" s="38"/>
      <c r="V46" s="47"/>
      <c r="W46" s="48"/>
      <c r="X46" s="48"/>
      <c r="Y46" s="48"/>
      <c r="Z46" s="47"/>
      <c r="AA46" s="48"/>
      <c r="AB46" s="49"/>
    </row>
    <row r="47" spans="1:28">
      <c r="A47" s="12"/>
      <c r="B47" s="9" t="s">
        <v>34</v>
      </c>
      <c r="C47" s="9">
        <v>22</v>
      </c>
      <c r="D47" s="72">
        <v>48791.8</v>
      </c>
      <c r="E47" s="73">
        <v>41.166</v>
      </c>
      <c r="F47" s="73">
        <v>42.497</v>
      </c>
      <c r="G47" s="73">
        <v>43.321</v>
      </c>
      <c r="H47" s="73">
        <v>3369.213</v>
      </c>
      <c r="I47" s="73">
        <v>47.417</v>
      </c>
      <c r="J47" s="11">
        <f t="shared" si="0"/>
        <v>41.60175</v>
      </c>
      <c r="K47" s="21">
        <f t="shared" si="2"/>
        <v>0.9358925</v>
      </c>
      <c r="M47" s="63">
        <v>48791.8</v>
      </c>
      <c r="N47" s="64">
        <v>41.166</v>
      </c>
      <c r="O47" s="64">
        <v>42.497</v>
      </c>
      <c r="P47" s="64">
        <v>43.321</v>
      </c>
      <c r="Q47" s="64">
        <v>3428.999</v>
      </c>
      <c r="R47" s="64">
        <v>36.189</v>
      </c>
      <c r="S47" s="11">
        <f t="shared" si="1"/>
        <v>41.60175</v>
      </c>
      <c r="T47" s="21">
        <f t="shared" si="3"/>
        <v>0.952499722222222</v>
      </c>
      <c r="U47" s="38"/>
      <c r="V47" s="39">
        <f>bdrate($D47:$D50,E47:E50,$M47:$M50,N47:N50)</f>
        <v>0</v>
      </c>
      <c r="W47" s="40">
        <f>bdrate($D47:$D50,F47:F50,$M47:$M50,O47:O50)</f>
        <v>0</v>
      </c>
      <c r="X47" s="40">
        <f>bdrate($D47:$D50,G47:G50,$M47:$M50,P47:P50)</f>
        <v>0</v>
      </c>
      <c r="Y47" s="40">
        <f>bdrate(D47:D50,J47:J50,M47:M50,S47:S50)</f>
        <v>0</v>
      </c>
      <c r="Z47" s="54">
        <f>bdrateOld($D47:$D50,E47:E50,$M47:$M50,N47:N50)</f>
        <v>0</v>
      </c>
      <c r="AA47" s="55">
        <f>bdrateOld($D47:$D50,F47:F50,$M47:$M50,O47:O50)</f>
        <v>0</v>
      </c>
      <c r="AB47" s="56">
        <f>bdrateOld($D47:$D50,G47:G50,$M47:$M50,P47:P50)</f>
        <v>0</v>
      </c>
    </row>
    <row r="48" spans="1:28">
      <c r="A48" s="12"/>
      <c r="B48" s="12"/>
      <c r="C48" s="12">
        <v>27</v>
      </c>
      <c r="D48" s="74">
        <v>30584.08</v>
      </c>
      <c r="E48" s="75">
        <v>36.816</v>
      </c>
      <c r="F48" s="75">
        <v>39.29</v>
      </c>
      <c r="G48" s="75">
        <v>40.024</v>
      </c>
      <c r="H48" s="75">
        <v>2808.06</v>
      </c>
      <c r="I48" s="75">
        <v>45.956</v>
      </c>
      <c r="J48" s="14">
        <f t="shared" si="0"/>
        <v>37.52625</v>
      </c>
      <c r="K48" s="24">
        <f t="shared" si="2"/>
        <v>0.780016666666667</v>
      </c>
      <c r="M48" s="66">
        <v>30584.08</v>
      </c>
      <c r="N48" s="67">
        <v>36.816</v>
      </c>
      <c r="O48" s="67">
        <v>39.29</v>
      </c>
      <c r="P48" s="67">
        <v>40.024</v>
      </c>
      <c r="Q48" s="67">
        <v>2811.136</v>
      </c>
      <c r="R48" s="67">
        <v>36.933</v>
      </c>
      <c r="S48" s="14">
        <f t="shared" si="1"/>
        <v>37.52625</v>
      </c>
      <c r="T48" s="24">
        <f t="shared" si="3"/>
        <v>0.780871111111111</v>
      </c>
      <c r="U48" s="38"/>
      <c r="V48" s="43"/>
      <c r="W48" s="44"/>
      <c r="X48" s="44"/>
      <c r="Y48" s="44"/>
      <c r="Z48" s="43"/>
      <c r="AA48" s="44"/>
      <c r="AB48" s="45"/>
    </row>
    <row r="49" spans="1:28">
      <c r="A49" s="12"/>
      <c r="B49" s="12"/>
      <c r="C49" s="12">
        <v>32</v>
      </c>
      <c r="D49" s="74">
        <v>18185.8</v>
      </c>
      <c r="E49" s="75">
        <v>32.938</v>
      </c>
      <c r="F49" s="75">
        <v>36.921</v>
      </c>
      <c r="G49" s="75">
        <v>37.581</v>
      </c>
      <c r="H49" s="75">
        <v>2315.866</v>
      </c>
      <c r="I49" s="75">
        <v>82.22</v>
      </c>
      <c r="J49" s="14">
        <f t="shared" si="0"/>
        <v>34.01625</v>
      </c>
      <c r="K49" s="24">
        <f t="shared" si="2"/>
        <v>0.643296111111111</v>
      </c>
      <c r="M49" s="66">
        <v>18185.8</v>
      </c>
      <c r="N49" s="67">
        <v>32.938</v>
      </c>
      <c r="O49" s="67">
        <v>36.921</v>
      </c>
      <c r="P49" s="67">
        <v>37.581</v>
      </c>
      <c r="Q49" s="67">
        <v>2397.453</v>
      </c>
      <c r="R49" s="67">
        <v>32.665</v>
      </c>
      <c r="S49" s="14">
        <f t="shared" si="1"/>
        <v>34.01625</v>
      </c>
      <c r="T49" s="24">
        <f t="shared" si="3"/>
        <v>0.665959166666667</v>
      </c>
      <c r="U49" s="38"/>
      <c r="V49" s="43"/>
      <c r="W49" s="44"/>
      <c r="X49" s="44"/>
      <c r="Y49" s="44"/>
      <c r="Z49" s="43"/>
      <c r="AA49" s="44"/>
      <c r="AB49" s="45"/>
    </row>
    <row r="50" ht="12.15" spans="1:28">
      <c r="A50" s="12"/>
      <c r="B50" s="15"/>
      <c r="C50" s="15">
        <v>37</v>
      </c>
      <c r="D50" s="76">
        <v>9853.43</v>
      </c>
      <c r="E50" s="77">
        <v>29.296</v>
      </c>
      <c r="F50" s="77">
        <v>35.024</v>
      </c>
      <c r="G50" s="77">
        <v>35.665</v>
      </c>
      <c r="H50" s="77">
        <v>2000.812</v>
      </c>
      <c r="I50" s="77">
        <v>34.663</v>
      </c>
      <c r="J50" s="17">
        <f t="shared" si="0"/>
        <v>30.808125</v>
      </c>
      <c r="K50" s="27">
        <f t="shared" si="2"/>
        <v>0.555781111111111</v>
      </c>
      <c r="M50" s="69">
        <v>9853.43</v>
      </c>
      <c r="N50" s="70">
        <v>29.296</v>
      </c>
      <c r="O50" s="70">
        <v>35.024</v>
      </c>
      <c r="P50" s="70">
        <v>35.665</v>
      </c>
      <c r="Q50" s="70">
        <v>1957.854</v>
      </c>
      <c r="R50" s="70">
        <v>23.476</v>
      </c>
      <c r="S50" s="17">
        <f t="shared" si="1"/>
        <v>30.808125</v>
      </c>
      <c r="T50" s="27">
        <f t="shared" si="3"/>
        <v>0.543848333333333</v>
      </c>
      <c r="U50" s="38"/>
      <c r="V50" s="47"/>
      <c r="W50" s="48"/>
      <c r="X50" s="48"/>
      <c r="Y50" s="48"/>
      <c r="Z50" s="47"/>
      <c r="AA50" s="48"/>
      <c r="AB50" s="49"/>
    </row>
    <row r="51" spans="1:28">
      <c r="A51" s="12"/>
      <c r="B51" s="9" t="s">
        <v>35</v>
      </c>
      <c r="C51" s="9">
        <v>22</v>
      </c>
      <c r="D51" s="72">
        <v>17511.47</v>
      </c>
      <c r="E51" s="73">
        <v>42.361</v>
      </c>
      <c r="F51" s="73">
        <v>43.23</v>
      </c>
      <c r="G51" s="73">
        <v>44.122</v>
      </c>
      <c r="H51" s="73">
        <v>1582.47</v>
      </c>
      <c r="I51" s="73">
        <v>19.904</v>
      </c>
      <c r="J51" s="11">
        <f t="shared" si="0"/>
        <v>42.68975</v>
      </c>
      <c r="K51" s="21">
        <f t="shared" si="2"/>
        <v>0.439575</v>
      </c>
      <c r="M51" s="63">
        <v>17511.47</v>
      </c>
      <c r="N51" s="64">
        <v>42.361</v>
      </c>
      <c r="O51" s="64">
        <v>43.23</v>
      </c>
      <c r="P51" s="64">
        <v>44.122</v>
      </c>
      <c r="Q51" s="64">
        <v>1612.489</v>
      </c>
      <c r="R51" s="64">
        <v>20.139</v>
      </c>
      <c r="S51" s="11">
        <f t="shared" si="1"/>
        <v>42.68975</v>
      </c>
      <c r="T51" s="21">
        <f t="shared" si="3"/>
        <v>0.447913611111111</v>
      </c>
      <c r="U51" s="38"/>
      <c r="V51" s="39">
        <f>bdrate($D51:$D54,E51:E54,$M51:$M54,N51:N54)</f>
        <v>0</v>
      </c>
      <c r="W51" s="40">
        <f>bdrate($D51:$D54,F51:F54,$M51:$M54,O51:O54)</f>
        <v>0</v>
      </c>
      <c r="X51" s="40">
        <f>bdrate($D51:$D54,G51:G54,$M51:$M54,P51:P54)</f>
        <v>0</v>
      </c>
      <c r="Y51" s="40">
        <f>bdrate(D51:D54,J51:J54,M51:M54,S51:S54)</f>
        <v>0</v>
      </c>
      <c r="Z51" s="54">
        <f>bdrateOld($D51:$D54,E51:E54,$M51:$M54,N51:N54)</f>
        <v>0</v>
      </c>
      <c r="AA51" s="55">
        <f>bdrateOld($D51:$D54,F51:F54,$M51:$M54,O51:O54)</f>
        <v>0</v>
      </c>
      <c r="AB51" s="56">
        <f>bdrateOld($D51:$D54,G51:G54,$M51:$M54,P51:P54)</f>
        <v>0</v>
      </c>
    </row>
    <row r="52" spans="1:28">
      <c r="A52" s="12"/>
      <c r="B52" s="12"/>
      <c r="C52" s="12">
        <v>27</v>
      </c>
      <c r="D52" s="74">
        <v>10646.7</v>
      </c>
      <c r="E52" s="75">
        <v>38.847</v>
      </c>
      <c r="F52" s="75">
        <v>39.904</v>
      </c>
      <c r="G52" s="75">
        <v>41.437</v>
      </c>
      <c r="H52" s="75">
        <v>1348.693</v>
      </c>
      <c r="I52" s="75">
        <v>20.757</v>
      </c>
      <c r="J52" s="14">
        <f t="shared" si="0"/>
        <v>39.302875</v>
      </c>
      <c r="K52" s="24">
        <f t="shared" si="2"/>
        <v>0.374636944444444</v>
      </c>
      <c r="M52" s="66">
        <v>10646.7</v>
      </c>
      <c r="N52" s="67">
        <v>38.847</v>
      </c>
      <c r="O52" s="67">
        <v>39.904</v>
      </c>
      <c r="P52" s="67">
        <v>41.437</v>
      </c>
      <c r="Q52" s="67">
        <v>1380.251</v>
      </c>
      <c r="R52" s="67">
        <v>20.597</v>
      </c>
      <c r="S52" s="14">
        <f t="shared" si="1"/>
        <v>39.302875</v>
      </c>
      <c r="T52" s="24">
        <f t="shared" si="3"/>
        <v>0.383403055555556</v>
      </c>
      <c r="U52" s="38"/>
      <c r="V52" s="43"/>
      <c r="W52" s="44"/>
      <c r="X52" s="44"/>
      <c r="Y52" s="44"/>
      <c r="Z52" s="43"/>
      <c r="AA52" s="44"/>
      <c r="AB52" s="45"/>
    </row>
    <row r="53" spans="1:28">
      <c r="A53" s="12"/>
      <c r="B53" s="12"/>
      <c r="C53" s="12">
        <v>32</v>
      </c>
      <c r="D53" s="74">
        <v>6111.82</v>
      </c>
      <c r="E53" s="75">
        <v>35.335</v>
      </c>
      <c r="F53" s="75">
        <v>37.591</v>
      </c>
      <c r="G53" s="75">
        <v>39.367</v>
      </c>
      <c r="H53" s="75">
        <v>1166.09</v>
      </c>
      <c r="I53" s="75">
        <v>16.558</v>
      </c>
      <c r="J53" s="14">
        <f t="shared" si="0"/>
        <v>36.121</v>
      </c>
      <c r="K53" s="24">
        <f t="shared" si="2"/>
        <v>0.323913888888889</v>
      </c>
      <c r="M53" s="66">
        <v>6111.82</v>
      </c>
      <c r="N53" s="67">
        <v>35.335</v>
      </c>
      <c r="O53" s="67">
        <v>37.591</v>
      </c>
      <c r="P53" s="67">
        <v>39.367</v>
      </c>
      <c r="Q53" s="67">
        <v>1181.099</v>
      </c>
      <c r="R53" s="67">
        <v>41.522</v>
      </c>
      <c r="S53" s="14">
        <f t="shared" si="1"/>
        <v>36.121</v>
      </c>
      <c r="T53" s="24">
        <f t="shared" si="3"/>
        <v>0.328083055555556</v>
      </c>
      <c r="U53" s="38"/>
      <c r="V53" s="43"/>
      <c r="W53" s="44"/>
      <c r="X53" s="44"/>
      <c r="Y53" s="44"/>
      <c r="Z53" s="43"/>
      <c r="AA53" s="44"/>
      <c r="AB53" s="45"/>
    </row>
    <row r="54" ht="12.15" spans="1:28">
      <c r="A54" s="15"/>
      <c r="B54" s="15"/>
      <c r="C54" s="15">
        <v>37</v>
      </c>
      <c r="D54" s="76">
        <v>3183.92</v>
      </c>
      <c r="E54" s="77">
        <v>32.081</v>
      </c>
      <c r="F54" s="77">
        <v>35.73</v>
      </c>
      <c r="G54" s="77">
        <v>37.468</v>
      </c>
      <c r="H54" s="77">
        <v>1048.567</v>
      </c>
      <c r="I54" s="77">
        <v>14.238</v>
      </c>
      <c r="J54" s="17">
        <f t="shared" si="0"/>
        <v>33.2105</v>
      </c>
      <c r="K54" s="27">
        <f t="shared" si="2"/>
        <v>0.291268611111111</v>
      </c>
      <c r="M54" s="69">
        <v>3183.92</v>
      </c>
      <c r="N54" s="70">
        <v>32.081</v>
      </c>
      <c r="O54" s="70">
        <v>35.73</v>
      </c>
      <c r="P54" s="70">
        <v>37.468</v>
      </c>
      <c r="Q54" s="70">
        <v>1067.199</v>
      </c>
      <c r="R54" s="70">
        <v>51.21</v>
      </c>
      <c r="S54" s="17">
        <f t="shared" si="1"/>
        <v>33.2105</v>
      </c>
      <c r="T54" s="27">
        <f t="shared" si="3"/>
        <v>0.296444166666667</v>
      </c>
      <c r="U54" s="38"/>
      <c r="V54" s="47"/>
      <c r="W54" s="48"/>
      <c r="X54" s="48"/>
      <c r="Y54" s="48"/>
      <c r="Z54" s="47"/>
      <c r="AA54" s="48"/>
      <c r="AB54" s="49"/>
    </row>
    <row r="55" spans="1:28">
      <c r="A55" s="9" t="s">
        <v>36</v>
      </c>
      <c r="B55" s="9" t="s">
        <v>37</v>
      </c>
      <c r="C55" s="9">
        <v>22</v>
      </c>
      <c r="D55" s="72">
        <v>6442.17</v>
      </c>
      <c r="E55" s="73">
        <v>42.797</v>
      </c>
      <c r="F55" s="73">
        <v>44.972</v>
      </c>
      <c r="G55" s="73">
        <v>44.798</v>
      </c>
      <c r="H55" s="73">
        <v>629.807</v>
      </c>
      <c r="I55" s="73">
        <v>7.111</v>
      </c>
      <c r="J55" s="11">
        <f t="shared" si="0"/>
        <v>43.319</v>
      </c>
      <c r="K55" s="21">
        <f t="shared" si="2"/>
        <v>0.174946388888889</v>
      </c>
      <c r="M55" s="63">
        <v>6442.17</v>
      </c>
      <c r="N55" s="64">
        <v>42.797</v>
      </c>
      <c r="O55" s="64">
        <v>44.972</v>
      </c>
      <c r="P55" s="64">
        <v>44.798</v>
      </c>
      <c r="Q55" s="64">
        <v>630.051</v>
      </c>
      <c r="R55" s="64">
        <v>7.291</v>
      </c>
      <c r="S55" s="11">
        <f t="shared" si="1"/>
        <v>43.319</v>
      </c>
      <c r="T55" s="21">
        <f t="shared" si="3"/>
        <v>0.175014166666667</v>
      </c>
      <c r="U55" s="38"/>
      <c r="V55" s="39">
        <f>bdrate($D55:$D58,E55:E58,$M55:$M58,N55:N58)</f>
        <v>0</v>
      </c>
      <c r="W55" s="40">
        <f>bdrate($D55:$D58,F55:F58,$M55:$M58,O55:O58)</f>
        <v>0</v>
      </c>
      <c r="X55" s="40">
        <f>bdrate($D55:$D58,G55:G58,$M55:$M58,P55:P58)</f>
        <v>0</v>
      </c>
      <c r="Y55" s="40">
        <f>bdrate(D55:D58,J55:J58,M55:M58,S55:S58)</f>
        <v>0</v>
      </c>
      <c r="Z55" s="54">
        <f>bdrateOld($D55:$D58,E55:E58,$M55:$M58,N55:N58)</f>
        <v>0</v>
      </c>
      <c r="AA55" s="55">
        <f>bdrateOld($D55:$D58,F55:F58,$M55:$M58,O55:O58)</f>
        <v>0</v>
      </c>
      <c r="AB55" s="56">
        <f>bdrateOld($D55:$D58,G55:G58,$M55:$M58,P55:P58)</f>
        <v>0</v>
      </c>
    </row>
    <row r="56" spans="1:28">
      <c r="A56" s="12" t="s">
        <v>38</v>
      </c>
      <c r="B56" s="12"/>
      <c r="C56" s="12">
        <v>27</v>
      </c>
      <c r="D56" s="74">
        <v>3873.94</v>
      </c>
      <c r="E56" s="75">
        <v>39.05</v>
      </c>
      <c r="F56" s="75">
        <v>41.842</v>
      </c>
      <c r="G56" s="75">
        <v>41.404</v>
      </c>
      <c r="H56" s="75">
        <v>530.023</v>
      </c>
      <c r="I56" s="75">
        <v>7.045</v>
      </c>
      <c r="J56" s="14">
        <f t="shared" si="0"/>
        <v>39.69325</v>
      </c>
      <c r="K56" s="24">
        <f t="shared" si="2"/>
        <v>0.147228611111111</v>
      </c>
      <c r="M56" s="66">
        <v>3873.94</v>
      </c>
      <c r="N56" s="67">
        <v>39.05</v>
      </c>
      <c r="O56" s="67">
        <v>41.842</v>
      </c>
      <c r="P56" s="67">
        <v>41.404</v>
      </c>
      <c r="Q56" s="67">
        <v>530.691</v>
      </c>
      <c r="R56" s="67">
        <v>6.687</v>
      </c>
      <c r="S56" s="14">
        <f t="shared" si="1"/>
        <v>39.69325</v>
      </c>
      <c r="T56" s="24">
        <f t="shared" si="3"/>
        <v>0.147414166666667</v>
      </c>
      <c r="U56" s="38"/>
      <c r="V56" s="43"/>
      <c r="W56" s="44"/>
      <c r="X56" s="44"/>
      <c r="Y56" s="44"/>
      <c r="Z56" s="43"/>
      <c r="AA56" s="44"/>
      <c r="AB56" s="45"/>
    </row>
    <row r="57" spans="1:28">
      <c r="A57" s="12"/>
      <c r="B57" s="12"/>
      <c r="C57" s="12">
        <v>32</v>
      </c>
      <c r="D57" s="74">
        <v>2192.38</v>
      </c>
      <c r="E57" s="75">
        <v>35.596</v>
      </c>
      <c r="F57" s="75">
        <v>39.239</v>
      </c>
      <c r="G57" s="75">
        <v>38.577</v>
      </c>
      <c r="H57" s="75">
        <v>450.646</v>
      </c>
      <c r="I57" s="75">
        <v>6.79</v>
      </c>
      <c r="J57" s="14">
        <f t="shared" si="0"/>
        <v>36.424</v>
      </c>
      <c r="K57" s="24">
        <f t="shared" si="2"/>
        <v>0.125179444444444</v>
      </c>
      <c r="M57" s="66">
        <v>2192.38</v>
      </c>
      <c r="N57" s="67">
        <v>35.596</v>
      </c>
      <c r="O57" s="67">
        <v>39.239</v>
      </c>
      <c r="P57" s="67">
        <v>38.577</v>
      </c>
      <c r="Q57" s="67">
        <v>454.849</v>
      </c>
      <c r="R57" s="67">
        <v>5.881</v>
      </c>
      <c r="S57" s="14">
        <f t="shared" si="1"/>
        <v>36.424</v>
      </c>
      <c r="T57" s="24">
        <f t="shared" si="3"/>
        <v>0.126346944444444</v>
      </c>
      <c r="U57" s="38"/>
      <c r="V57" s="43"/>
      <c r="W57" s="44"/>
      <c r="X57" s="44"/>
      <c r="Y57" s="44"/>
      <c r="Z57" s="43"/>
      <c r="AA57" s="44"/>
      <c r="AB57" s="45"/>
    </row>
    <row r="58" ht="12.15" spans="1:28">
      <c r="A58" s="12"/>
      <c r="B58" s="15"/>
      <c r="C58" s="15">
        <v>37</v>
      </c>
      <c r="D58" s="76">
        <v>1195.58</v>
      </c>
      <c r="E58" s="77">
        <v>32.572</v>
      </c>
      <c r="F58" s="77">
        <v>37.169</v>
      </c>
      <c r="G58" s="77">
        <v>36.054</v>
      </c>
      <c r="H58" s="77">
        <v>406.885</v>
      </c>
      <c r="I58" s="77">
        <v>5.074</v>
      </c>
      <c r="J58" s="17">
        <f t="shared" si="0"/>
        <v>33.581875</v>
      </c>
      <c r="K58" s="27">
        <f t="shared" si="2"/>
        <v>0.113023611111111</v>
      </c>
      <c r="M58" s="69">
        <v>1195.58</v>
      </c>
      <c r="N58" s="70">
        <v>32.572</v>
      </c>
      <c r="O58" s="70">
        <v>37.169</v>
      </c>
      <c r="P58" s="70">
        <v>36.054</v>
      </c>
      <c r="Q58" s="70">
        <v>410.203</v>
      </c>
      <c r="R58" s="70">
        <v>5.55</v>
      </c>
      <c r="S58" s="17">
        <f t="shared" si="1"/>
        <v>33.581875</v>
      </c>
      <c r="T58" s="27">
        <f t="shared" si="3"/>
        <v>0.113945277777778</v>
      </c>
      <c r="U58" s="38"/>
      <c r="V58" s="47"/>
      <c r="W58" s="48"/>
      <c r="X58" s="48"/>
      <c r="Y58" s="48"/>
      <c r="Z58" s="47"/>
      <c r="AA58" s="48"/>
      <c r="AB58" s="49"/>
    </row>
    <row r="59" spans="1:28">
      <c r="A59" s="12"/>
      <c r="B59" s="9" t="s">
        <v>39</v>
      </c>
      <c r="C59" s="9">
        <v>22</v>
      </c>
      <c r="D59" s="72">
        <v>14553.98</v>
      </c>
      <c r="E59" s="73">
        <v>41.223</v>
      </c>
      <c r="F59" s="73">
        <v>43.295</v>
      </c>
      <c r="G59" s="73">
        <v>44.217</v>
      </c>
      <c r="H59" s="73">
        <v>992.318</v>
      </c>
      <c r="I59" s="73">
        <v>12.096</v>
      </c>
      <c r="J59" s="11">
        <f t="shared" si="0"/>
        <v>41.85625</v>
      </c>
      <c r="K59" s="21">
        <f t="shared" si="2"/>
        <v>0.275643888888889</v>
      </c>
      <c r="M59" s="63">
        <v>14553.98</v>
      </c>
      <c r="N59" s="64">
        <v>41.223</v>
      </c>
      <c r="O59" s="64">
        <v>43.295</v>
      </c>
      <c r="P59" s="64">
        <v>44.217</v>
      </c>
      <c r="Q59" s="64">
        <v>1007.857</v>
      </c>
      <c r="R59" s="64">
        <v>10.902</v>
      </c>
      <c r="S59" s="11">
        <f t="shared" si="1"/>
        <v>41.85625</v>
      </c>
      <c r="T59" s="21">
        <f t="shared" si="3"/>
        <v>0.279960277777778</v>
      </c>
      <c r="U59" s="38"/>
      <c r="V59" s="39">
        <f>bdrate($D59:$D62,E59:E62,$M59:$M62,N59:N62)</f>
        <v>0</v>
      </c>
      <c r="W59" s="40">
        <f>bdrate($D59:$D62,F59:F62,$M59:$M62,O59:O62)</f>
        <v>0</v>
      </c>
      <c r="X59" s="40">
        <f>bdrate($D59:$D62,G59:G62,$M59:$M62,P59:P62)</f>
        <v>0</v>
      </c>
      <c r="Y59" s="40">
        <f>bdrate(D59:D62,J59:J62,M59:M62,S59:S62)</f>
        <v>0</v>
      </c>
      <c r="Z59" s="54">
        <f>bdrateOld($D59:$D62,E59:E62,$M59:$M62,N59:N62)</f>
        <v>0</v>
      </c>
      <c r="AA59" s="55">
        <f>bdrateOld($D59:$D62,F59:F62,$M59:$M62,O59:O62)</f>
        <v>0</v>
      </c>
      <c r="AB59" s="56">
        <f>bdrateOld($D59:$D62,G59:G62,$M59:$M62,P59:P62)</f>
        <v>0</v>
      </c>
    </row>
    <row r="60" spans="1:28">
      <c r="A60" s="12"/>
      <c r="B60" s="12"/>
      <c r="C60" s="12">
        <v>27</v>
      </c>
      <c r="D60" s="74">
        <v>9326.22</v>
      </c>
      <c r="E60" s="75">
        <v>36.715</v>
      </c>
      <c r="F60" s="75">
        <v>40.61</v>
      </c>
      <c r="G60" s="75">
        <v>41.658</v>
      </c>
      <c r="H60" s="75">
        <v>820.9</v>
      </c>
      <c r="I60" s="75">
        <v>9.044</v>
      </c>
      <c r="J60" s="14">
        <f t="shared" si="0"/>
        <v>37.81975</v>
      </c>
      <c r="K60" s="24">
        <f t="shared" si="2"/>
        <v>0.228027777777778</v>
      </c>
      <c r="M60" s="66">
        <v>9326.22</v>
      </c>
      <c r="N60" s="67">
        <v>36.715</v>
      </c>
      <c r="O60" s="67">
        <v>40.61</v>
      </c>
      <c r="P60" s="67">
        <v>41.658</v>
      </c>
      <c r="Q60" s="67">
        <v>844.494</v>
      </c>
      <c r="R60" s="67">
        <v>9.268</v>
      </c>
      <c r="S60" s="14">
        <f t="shared" si="1"/>
        <v>37.81975</v>
      </c>
      <c r="T60" s="24">
        <f t="shared" si="3"/>
        <v>0.234581666666667</v>
      </c>
      <c r="U60" s="38"/>
      <c r="V60" s="43"/>
      <c r="W60" s="44"/>
      <c r="X60" s="44"/>
      <c r="Y60" s="44"/>
      <c r="Z60" s="43"/>
      <c r="AA60" s="44"/>
      <c r="AB60" s="45"/>
    </row>
    <row r="61" spans="1:28">
      <c r="A61" s="12"/>
      <c r="B61" s="12"/>
      <c r="C61" s="12">
        <v>32</v>
      </c>
      <c r="D61" s="74">
        <v>5803.54</v>
      </c>
      <c r="E61" s="75">
        <v>32.878</v>
      </c>
      <c r="F61" s="75">
        <v>39.085</v>
      </c>
      <c r="G61" s="75">
        <v>39.996</v>
      </c>
      <c r="H61" s="75">
        <v>681.083</v>
      </c>
      <c r="I61" s="75">
        <v>8.21</v>
      </c>
      <c r="J61" s="14">
        <f t="shared" si="0"/>
        <v>34.543625</v>
      </c>
      <c r="K61" s="24">
        <f t="shared" si="2"/>
        <v>0.189189722222222</v>
      </c>
      <c r="M61" s="66">
        <v>5803.54</v>
      </c>
      <c r="N61" s="67">
        <v>32.878</v>
      </c>
      <c r="O61" s="67">
        <v>39.085</v>
      </c>
      <c r="P61" s="67">
        <v>39.996</v>
      </c>
      <c r="Q61" s="67">
        <v>700.904</v>
      </c>
      <c r="R61" s="67">
        <v>8.645</v>
      </c>
      <c r="S61" s="14">
        <f t="shared" si="1"/>
        <v>34.543625</v>
      </c>
      <c r="T61" s="24">
        <f t="shared" si="3"/>
        <v>0.194695555555556</v>
      </c>
      <c r="U61" s="38"/>
      <c r="V61" s="43"/>
      <c r="W61" s="44"/>
      <c r="X61" s="44"/>
      <c r="Y61" s="44"/>
      <c r="Z61" s="43"/>
      <c r="AA61" s="44"/>
      <c r="AB61" s="45"/>
    </row>
    <row r="62" ht="12.15" spans="1:28">
      <c r="A62" s="12"/>
      <c r="B62" s="15"/>
      <c r="C62" s="15">
        <v>37</v>
      </c>
      <c r="D62" s="76">
        <v>3515.44</v>
      </c>
      <c r="E62" s="77">
        <v>29.415</v>
      </c>
      <c r="F62" s="77">
        <v>38.163</v>
      </c>
      <c r="G62" s="77">
        <v>38.493</v>
      </c>
      <c r="H62" s="77">
        <v>587.202</v>
      </c>
      <c r="I62" s="77">
        <v>7.01</v>
      </c>
      <c r="J62" s="17">
        <f t="shared" si="0"/>
        <v>31.64325</v>
      </c>
      <c r="K62" s="27">
        <f t="shared" si="2"/>
        <v>0.163111666666667</v>
      </c>
      <c r="M62" s="69">
        <v>3515.44</v>
      </c>
      <c r="N62" s="70">
        <v>29.415</v>
      </c>
      <c r="O62" s="70">
        <v>38.163</v>
      </c>
      <c r="P62" s="70">
        <v>38.493</v>
      </c>
      <c r="Q62" s="70">
        <v>610.736</v>
      </c>
      <c r="R62" s="70">
        <v>36.299</v>
      </c>
      <c r="S62" s="17">
        <f t="shared" si="1"/>
        <v>31.64325</v>
      </c>
      <c r="T62" s="27">
        <f t="shared" si="3"/>
        <v>0.169648888888889</v>
      </c>
      <c r="U62" s="38"/>
      <c r="V62" s="47"/>
      <c r="W62" s="48"/>
      <c r="X62" s="48"/>
      <c r="Y62" s="48"/>
      <c r="Z62" s="47"/>
      <c r="AA62" s="48"/>
      <c r="AB62" s="49"/>
    </row>
    <row r="63" spans="1:28">
      <c r="A63" s="12"/>
      <c r="B63" s="9" t="s">
        <v>40</v>
      </c>
      <c r="C63" s="9">
        <v>22</v>
      </c>
      <c r="D63" s="72">
        <v>12878.6</v>
      </c>
      <c r="E63" s="73">
        <v>41.142</v>
      </c>
      <c r="F63" s="73">
        <v>42.154</v>
      </c>
      <c r="G63" s="73">
        <v>42.811</v>
      </c>
      <c r="H63" s="73">
        <v>838.137</v>
      </c>
      <c r="I63" s="73">
        <v>10.671</v>
      </c>
      <c r="J63" s="11">
        <f t="shared" si="0"/>
        <v>41.477125</v>
      </c>
      <c r="K63" s="21">
        <f t="shared" si="2"/>
        <v>0.232815833333333</v>
      </c>
      <c r="M63" s="63">
        <v>12878.6</v>
      </c>
      <c r="N63" s="64">
        <v>41.142</v>
      </c>
      <c r="O63" s="64">
        <v>42.154</v>
      </c>
      <c r="P63" s="64">
        <v>42.811</v>
      </c>
      <c r="Q63" s="64">
        <v>850.372</v>
      </c>
      <c r="R63" s="64">
        <v>10.848</v>
      </c>
      <c r="S63" s="11">
        <f t="shared" si="1"/>
        <v>41.477125</v>
      </c>
      <c r="T63" s="21">
        <f t="shared" si="3"/>
        <v>0.236214444444444</v>
      </c>
      <c r="U63" s="38"/>
      <c r="V63" s="39">
        <f>bdrate($D63:$D66,E63:E66,$M63:$M66,N63:N66)</f>
        <v>0</v>
      </c>
      <c r="W63" s="40">
        <f>bdrate($D63:$D66,F63:F66,$M63:$M66,O63:O66)</f>
        <v>0</v>
      </c>
      <c r="X63" s="40">
        <f>bdrate($D63:$D66,G63:G66,$M63:$M66,P63:P66)</f>
        <v>0</v>
      </c>
      <c r="Y63" s="40">
        <f>bdrate(D63:D66,J63:J66,M63:M66,S63:S66)</f>
        <v>0</v>
      </c>
      <c r="Z63" s="54">
        <f>bdrateOld($D63:$D66,E63:E66,$M63:$M66,N63:N66)</f>
        <v>0</v>
      </c>
      <c r="AA63" s="55">
        <f>bdrateOld($D63:$D66,F63:F66,$M63:$M66,O63:O66)</f>
        <v>0</v>
      </c>
      <c r="AB63" s="56">
        <f>bdrateOld($D63:$D66,G63:G66,$M63:$M66,P63:P66)</f>
        <v>0</v>
      </c>
    </row>
    <row r="64" spans="1:28">
      <c r="A64" s="12"/>
      <c r="B64" s="12"/>
      <c r="C64" s="12">
        <v>27</v>
      </c>
      <c r="D64" s="74">
        <v>8043.81</v>
      </c>
      <c r="E64" s="75">
        <v>36.664</v>
      </c>
      <c r="F64" s="75">
        <v>38.989</v>
      </c>
      <c r="G64" s="75">
        <v>39.43</v>
      </c>
      <c r="H64" s="75">
        <v>693.944</v>
      </c>
      <c r="I64" s="75">
        <v>8.081</v>
      </c>
      <c r="J64" s="14">
        <f t="shared" si="0"/>
        <v>37.300375</v>
      </c>
      <c r="K64" s="24">
        <f t="shared" si="2"/>
        <v>0.192762222222222</v>
      </c>
      <c r="M64" s="66">
        <v>8043.81</v>
      </c>
      <c r="N64" s="67">
        <v>36.664</v>
      </c>
      <c r="O64" s="67">
        <v>38.989</v>
      </c>
      <c r="P64" s="67">
        <v>39.43</v>
      </c>
      <c r="Q64" s="67">
        <v>713.016</v>
      </c>
      <c r="R64" s="67">
        <v>8.009</v>
      </c>
      <c r="S64" s="14">
        <f t="shared" si="1"/>
        <v>37.300375</v>
      </c>
      <c r="T64" s="24">
        <f t="shared" si="3"/>
        <v>0.19806</v>
      </c>
      <c r="U64" s="38"/>
      <c r="V64" s="43"/>
      <c r="W64" s="44"/>
      <c r="X64" s="44"/>
      <c r="Y64" s="44"/>
      <c r="Z64" s="43"/>
      <c r="AA64" s="44"/>
      <c r="AB64" s="45"/>
    </row>
    <row r="65" spans="1:28">
      <c r="A65" s="12"/>
      <c r="B65" s="12"/>
      <c r="C65" s="12">
        <v>32</v>
      </c>
      <c r="D65" s="74">
        <v>4565.7</v>
      </c>
      <c r="E65" s="75">
        <v>32.618</v>
      </c>
      <c r="F65" s="75">
        <v>36.523</v>
      </c>
      <c r="G65" s="75">
        <v>36.908</v>
      </c>
      <c r="H65" s="75">
        <v>565.579</v>
      </c>
      <c r="I65" s="75">
        <v>6.921</v>
      </c>
      <c r="J65" s="14">
        <f t="shared" si="0"/>
        <v>33.642375</v>
      </c>
      <c r="K65" s="24">
        <f t="shared" si="2"/>
        <v>0.157105277777778</v>
      </c>
      <c r="M65" s="66">
        <v>4565.7</v>
      </c>
      <c r="N65" s="67">
        <v>32.618</v>
      </c>
      <c r="O65" s="67">
        <v>36.523</v>
      </c>
      <c r="P65" s="67">
        <v>36.908</v>
      </c>
      <c r="Q65" s="67">
        <v>590.163</v>
      </c>
      <c r="R65" s="67">
        <v>6.821</v>
      </c>
      <c r="S65" s="14">
        <f t="shared" si="1"/>
        <v>33.642375</v>
      </c>
      <c r="T65" s="24">
        <f t="shared" si="3"/>
        <v>0.163934166666667</v>
      </c>
      <c r="U65" s="38"/>
      <c r="V65" s="43"/>
      <c r="W65" s="44"/>
      <c r="X65" s="44"/>
      <c r="Y65" s="44"/>
      <c r="Z65" s="43"/>
      <c r="AA65" s="44"/>
      <c r="AB65" s="45"/>
    </row>
    <row r="66" ht="12.15" spans="1:28">
      <c r="A66" s="12"/>
      <c r="B66" s="15"/>
      <c r="C66" s="15">
        <v>37</v>
      </c>
      <c r="D66" s="76">
        <v>2344.61</v>
      </c>
      <c r="E66" s="77">
        <v>29.15</v>
      </c>
      <c r="F66" s="77">
        <v>34.544</v>
      </c>
      <c r="G66" s="77">
        <v>35.025</v>
      </c>
      <c r="H66" s="77">
        <v>471.165</v>
      </c>
      <c r="I66" s="77">
        <v>6.004</v>
      </c>
      <c r="J66" s="17">
        <f t="shared" si="0"/>
        <v>30.558625</v>
      </c>
      <c r="K66" s="27">
        <f t="shared" si="2"/>
        <v>0.130879166666667</v>
      </c>
      <c r="M66" s="69">
        <v>2344.61</v>
      </c>
      <c r="N66" s="70">
        <v>29.15</v>
      </c>
      <c r="O66" s="70">
        <v>34.544</v>
      </c>
      <c r="P66" s="70">
        <v>35.025</v>
      </c>
      <c r="Q66" s="70">
        <v>502.836</v>
      </c>
      <c r="R66" s="70">
        <v>6.021</v>
      </c>
      <c r="S66" s="17">
        <f t="shared" si="1"/>
        <v>30.558625</v>
      </c>
      <c r="T66" s="27">
        <f t="shared" si="3"/>
        <v>0.139676666666667</v>
      </c>
      <c r="U66" s="38"/>
      <c r="V66" s="47"/>
      <c r="W66" s="48"/>
      <c r="X66" s="48"/>
      <c r="Y66" s="48"/>
      <c r="Z66" s="47"/>
      <c r="AA66" s="48"/>
      <c r="AB66" s="49"/>
    </row>
    <row r="67" spans="1:28">
      <c r="A67" s="12"/>
      <c r="B67" s="9" t="s">
        <v>35</v>
      </c>
      <c r="C67" s="9">
        <v>22</v>
      </c>
      <c r="D67" s="72">
        <v>5239.46</v>
      </c>
      <c r="E67" s="73">
        <v>42.386</v>
      </c>
      <c r="F67" s="73">
        <v>42.819</v>
      </c>
      <c r="G67" s="73">
        <v>43.741</v>
      </c>
      <c r="H67" s="73">
        <v>414.097</v>
      </c>
      <c r="I67" s="73">
        <v>4.799</v>
      </c>
      <c r="J67" s="11">
        <f t="shared" si="0"/>
        <v>42.6095</v>
      </c>
      <c r="K67" s="21">
        <f t="shared" si="2"/>
        <v>0.115026944444444</v>
      </c>
      <c r="M67" s="63">
        <v>5239.46</v>
      </c>
      <c r="N67" s="64">
        <v>42.386</v>
      </c>
      <c r="O67" s="64">
        <v>42.819</v>
      </c>
      <c r="P67" s="64">
        <v>43.741</v>
      </c>
      <c r="Q67" s="64">
        <v>441.817</v>
      </c>
      <c r="R67" s="64">
        <v>5.4</v>
      </c>
      <c r="S67" s="11">
        <f t="shared" si="1"/>
        <v>42.6095</v>
      </c>
      <c r="T67" s="21">
        <f t="shared" si="3"/>
        <v>0.122726944444444</v>
      </c>
      <c r="U67" s="38"/>
      <c r="V67" s="39">
        <f>bdrate($D67:$D70,E67:E70,$M67:$M70,N67:N70)</f>
        <v>0</v>
      </c>
      <c r="W67" s="40">
        <f>bdrate($D67:$D70,F67:F70,$M67:$M70,O67:O70)</f>
        <v>0</v>
      </c>
      <c r="X67" s="40">
        <f>bdrate($D67:$D70,G67:G70,$M67:$M70,P67:P70)</f>
        <v>0</v>
      </c>
      <c r="Y67" s="40">
        <f>bdrate(D67:D70,J67:J70,M67:M70,S67:S70)</f>
        <v>0</v>
      </c>
      <c r="Z67" s="54">
        <f>bdrateOld($D67:$D70,E67:E70,$M67:$M70,N67:N70)</f>
        <v>0</v>
      </c>
      <c r="AA67" s="55">
        <f>bdrateOld($D67:$D70,F67:F70,$M67:$M70,O67:O70)</f>
        <v>0</v>
      </c>
      <c r="AB67" s="56">
        <f>bdrateOld($D67:$D70,G67:G70,$M67:$M70,P67:P70)</f>
        <v>0</v>
      </c>
    </row>
    <row r="68" spans="1:28">
      <c r="A68" s="12"/>
      <c r="B68" s="12"/>
      <c r="C68" s="12">
        <v>27</v>
      </c>
      <c r="D68" s="74">
        <v>3212.33</v>
      </c>
      <c r="E68" s="75">
        <v>38.265</v>
      </c>
      <c r="F68" s="75">
        <v>39.481</v>
      </c>
      <c r="G68" s="75">
        <v>40.705</v>
      </c>
      <c r="H68" s="75">
        <v>349.441</v>
      </c>
      <c r="I68" s="75">
        <v>4.407</v>
      </c>
      <c r="J68" s="14">
        <f>(6*E68+F68+G68)/8</f>
        <v>38.722</v>
      </c>
      <c r="K68" s="24">
        <f t="shared" si="2"/>
        <v>0.0970669444444444</v>
      </c>
      <c r="M68" s="66">
        <v>3212.33</v>
      </c>
      <c r="N68" s="67">
        <v>38.265</v>
      </c>
      <c r="O68" s="67">
        <v>39.481</v>
      </c>
      <c r="P68" s="67">
        <v>40.705</v>
      </c>
      <c r="Q68" s="67">
        <v>373.11</v>
      </c>
      <c r="R68" s="67">
        <v>4.156</v>
      </c>
      <c r="S68" s="14">
        <f>(6*N68+O68+P68)/8</f>
        <v>38.722</v>
      </c>
      <c r="T68" s="24">
        <f t="shared" si="3"/>
        <v>0.103641666666667</v>
      </c>
      <c r="U68" s="38"/>
      <c r="V68" s="43"/>
      <c r="W68" s="44"/>
      <c r="X68" s="44"/>
      <c r="Y68" s="44"/>
      <c r="Z68" s="43"/>
      <c r="AA68" s="44"/>
      <c r="AB68" s="45"/>
    </row>
    <row r="69" spans="1:28">
      <c r="A69" s="12"/>
      <c r="B69" s="12"/>
      <c r="C69" s="12">
        <v>32</v>
      </c>
      <c r="D69" s="74">
        <v>1766.08</v>
      </c>
      <c r="E69" s="75">
        <v>34.347</v>
      </c>
      <c r="F69" s="75">
        <v>37.057</v>
      </c>
      <c r="G69" s="75">
        <v>38.179</v>
      </c>
      <c r="H69" s="75">
        <v>292.813</v>
      </c>
      <c r="I69" s="75">
        <v>3.565</v>
      </c>
      <c r="J69" s="14">
        <f>(6*E69+F69+G69)/8</f>
        <v>35.16475</v>
      </c>
      <c r="K69" s="24">
        <f t="shared" si="2"/>
        <v>0.0813369444444444</v>
      </c>
      <c r="M69" s="66">
        <v>1766.08</v>
      </c>
      <c r="N69" s="67">
        <v>34.347</v>
      </c>
      <c r="O69" s="67">
        <v>37.057</v>
      </c>
      <c r="P69" s="67">
        <v>38.179</v>
      </c>
      <c r="Q69" s="67">
        <v>327.459</v>
      </c>
      <c r="R69" s="67">
        <v>3.755</v>
      </c>
      <c r="S69" s="14">
        <f>(6*N69+O69+P69)/8</f>
        <v>35.16475</v>
      </c>
      <c r="T69" s="24">
        <f t="shared" si="3"/>
        <v>0.0909608333333333</v>
      </c>
      <c r="U69" s="38"/>
      <c r="V69" s="43"/>
      <c r="W69" s="44"/>
      <c r="X69" s="44"/>
      <c r="Y69" s="44"/>
      <c r="Z69" s="43"/>
      <c r="AA69" s="44"/>
      <c r="AB69" s="45"/>
    </row>
    <row r="70" ht="12.15" spans="1:28">
      <c r="A70" s="15"/>
      <c r="B70" s="15"/>
      <c r="C70" s="15">
        <v>37</v>
      </c>
      <c r="D70" s="76">
        <v>900.76</v>
      </c>
      <c r="E70" s="77">
        <v>31.223</v>
      </c>
      <c r="F70" s="77">
        <v>34.877</v>
      </c>
      <c r="G70" s="77">
        <v>35.976</v>
      </c>
      <c r="H70" s="77">
        <v>252.808</v>
      </c>
      <c r="I70" s="77">
        <v>3.29</v>
      </c>
      <c r="J70" s="17">
        <f>(6*E70+F70+G70)/8</f>
        <v>32.273875</v>
      </c>
      <c r="K70" s="27">
        <f t="shared" si="2"/>
        <v>0.0702244444444444</v>
      </c>
      <c r="M70" s="69">
        <v>900.76</v>
      </c>
      <c r="N70" s="70">
        <v>31.223</v>
      </c>
      <c r="O70" s="70">
        <v>34.877</v>
      </c>
      <c r="P70" s="70">
        <v>35.976</v>
      </c>
      <c r="Q70" s="70">
        <v>282.909</v>
      </c>
      <c r="R70" s="70">
        <v>3.175</v>
      </c>
      <c r="S70" s="17">
        <f>(6*N70+O70+P70)/8</f>
        <v>32.273875</v>
      </c>
      <c r="T70" s="27">
        <f t="shared" si="3"/>
        <v>0.0785858333333333</v>
      </c>
      <c r="U70" s="38"/>
      <c r="V70" s="47"/>
      <c r="W70" s="48"/>
      <c r="X70" s="48"/>
      <c r="Y70" s="48"/>
      <c r="Z70" s="47"/>
      <c r="AA70" s="48"/>
      <c r="AB70" s="49"/>
    </row>
    <row r="71" spans="1:28">
      <c r="A71" s="9" t="s">
        <v>41</v>
      </c>
      <c r="B71" s="9" t="s">
        <v>42</v>
      </c>
      <c r="C71" s="9">
        <v>22</v>
      </c>
      <c r="D71" s="72">
        <v>37668.4</v>
      </c>
      <c r="E71" s="73">
        <v>43.625</v>
      </c>
      <c r="F71" s="73">
        <v>46.74</v>
      </c>
      <c r="G71" s="73">
        <v>47.869</v>
      </c>
      <c r="H71" s="73">
        <v>5880.738</v>
      </c>
      <c r="I71" s="73">
        <v>54.474</v>
      </c>
      <c r="J71" s="11">
        <f t="shared" ref="J71:J98" si="4">(6*E71+F71+G71)/8</f>
        <v>44.544875</v>
      </c>
      <c r="K71" s="21">
        <f t="shared" si="2"/>
        <v>1.63353833333333</v>
      </c>
      <c r="M71" s="63">
        <v>37668.4</v>
      </c>
      <c r="N71" s="64">
        <v>43.625</v>
      </c>
      <c r="O71" s="64">
        <v>46.74</v>
      </c>
      <c r="P71" s="64">
        <v>47.869</v>
      </c>
      <c r="Q71" s="64">
        <v>6038.157</v>
      </c>
      <c r="R71" s="64">
        <v>91.604</v>
      </c>
      <c r="S71" s="11">
        <f t="shared" ref="S71:S98" si="5">(6*N71+O71+P71)/8</f>
        <v>44.544875</v>
      </c>
      <c r="T71" s="21">
        <f t="shared" si="3"/>
        <v>1.67726583333333</v>
      </c>
      <c r="U71" s="38"/>
      <c r="V71" s="39">
        <f>bdrate($D71:$D74,E71:E74,$M71:$M74,N71:N74)</f>
        <v>0</v>
      </c>
      <c r="W71" s="40">
        <f>bdrate($D71:$D74,F71:F74,$M71:$M74,O71:O74)</f>
        <v>0</v>
      </c>
      <c r="X71" s="40">
        <f>bdrate($D71:$D74,G71:G74,$M71:$M74,P71:P74)</f>
        <v>0</v>
      </c>
      <c r="Y71" s="40">
        <f>bdrate(D71:D74,J71:J74,M71:M74,S71:S74)</f>
        <v>0</v>
      </c>
      <c r="Z71" s="54">
        <f>bdrateOld($D71:$D74,E71:E74,$M71:$M74,N71:N74)</f>
        <v>0</v>
      </c>
      <c r="AA71" s="55">
        <f>bdrateOld($D71:$D74,F71:F74,$M71:$M74,O71:O74)</f>
        <v>0</v>
      </c>
      <c r="AB71" s="56">
        <f>bdrateOld($D71:$D74,G71:G74,$M71:$M74,P71:P74)</f>
        <v>0</v>
      </c>
    </row>
    <row r="72" spans="1:28">
      <c r="A72" s="12" t="s">
        <v>43</v>
      </c>
      <c r="B72" s="12"/>
      <c r="C72" s="12">
        <v>27</v>
      </c>
      <c r="D72" s="74">
        <v>23058.69</v>
      </c>
      <c r="E72" s="75">
        <v>40.934</v>
      </c>
      <c r="F72" s="75">
        <v>44.564</v>
      </c>
      <c r="G72" s="75">
        <v>45.825</v>
      </c>
      <c r="H72" s="75">
        <v>5190.409</v>
      </c>
      <c r="I72" s="75">
        <v>79.882</v>
      </c>
      <c r="J72" s="14">
        <f t="shared" si="4"/>
        <v>41.999125</v>
      </c>
      <c r="K72" s="24">
        <f t="shared" ref="K72:K98" si="6">H72/3600</f>
        <v>1.44178027777778</v>
      </c>
      <c r="M72" s="66">
        <v>23058.69</v>
      </c>
      <c r="N72" s="67">
        <v>40.934</v>
      </c>
      <c r="O72" s="67">
        <v>44.564</v>
      </c>
      <c r="P72" s="67">
        <v>45.825</v>
      </c>
      <c r="Q72" s="67">
        <v>5253.785</v>
      </c>
      <c r="R72" s="67">
        <v>115.122</v>
      </c>
      <c r="S72" s="14">
        <f t="shared" si="5"/>
        <v>41.999125</v>
      </c>
      <c r="T72" s="24">
        <f t="shared" ref="T72:T98" si="7">Q72/3600</f>
        <v>1.45938472222222</v>
      </c>
      <c r="U72" s="38"/>
      <c r="V72" s="43"/>
      <c r="W72" s="44"/>
      <c r="X72" s="44"/>
      <c r="Y72" s="44"/>
      <c r="Z72" s="43"/>
      <c r="AA72" s="44"/>
      <c r="AB72" s="45"/>
    </row>
    <row r="73" spans="1:28">
      <c r="A73" s="12"/>
      <c r="B73" s="12"/>
      <c r="C73" s="12">
        <v>32</v>
      </c>
      <c r="D73" s="74">
        <v>13879.79</v>
      </c>
      <c r="E73" s="75">
        <v>37.945</v>
      </c>
      <c r="F73" s="75">
        <v>42.737</v>
      </c>
      <c r="G73" s="75">
        <v>43.927</v>
      </c>
      <c r="H73" s="75">
        <v>4679.598</v>
      </c>
      <c r="I73" s="75">
        <v>47.817</v>
      </c>
      <c r="J73" s="14">
        <f t="shared" si="4"/>
        <v>39.29175</v>
      </c>
      <c r="K73" s="24">
        <f t="shared" si="6"/>
        <v>1.29988833333333</v>
      </c>
      <c r="M73" s="66">
        <v>13879.79</v>
      </c>
      <c r="N73" s="67">
        <v>37.945</v>
      </c>
      <c r="O73" s="67">
        <v>42.737</v>
      </c>
      <c r="P73" s="67">
        <v>43.927</v>
      </c>
      <c r="Q73" s="67">
        <v>4775.376</v>
      </c>
      <c r="R73" s="67">
        <v>51.719</v>
      </c>
      <c r="S73" s="14">
        <f t="shared" si="5"/>
        <v>39.29175</v>
      </c>
      <c r="T73" s="24">
        <f t="shared" si="7"/>
        <v>1.32649333333333</v>
      </c>
      <c r="U73" s="38"/>
      <c r="V73" s="43"/>
      <c r="W73" s="44"/>
      <c r="X73" s="44"/>
      <c r="Y73" s="44"/>
      <c r="Z73" s="43"/>
      <c r="AA73" s="44"/>
      <c r="AB73" s="45"/>
    </row>
    <row r="74" ht="12.15" spans="1:28">
      <c r="A74" s="12"/>
      <c r="B74" s="15"/>
      <c r="C74" s="15">
        <v>37</v>
      </c>
      <c r="D74" s="76">
        <v>8431.04</v>
      </c>
      <c r="E74" s="77">
        <v>34.962</v>
      </c>
      <c r="F74" s="77">
        <v>41.009</v>
      </c>
      <c r="G74" s="77">
        <v>42.113</v>
      </c>
      <c r="H74" s="77">
        <v>4512.691</v>
      </c>
      <c r="I74" s="77">
        <v>88.192</v>
      </c>
      <c r="J74" s="17">
        <f t="shared" si="4"/>
        <v>36.61175</v>
      </c>
      <c r="K74" s="27">
        <f t="shared" si="6"/>
        <v>1.25352527777778</v>
      </c>
      <c r="M74" s="69">
        <v>8431.04</v>
      </c>
      <c r="N74" s="70">
        <v>34.962</v>
      </c>
      <c r="O74" s="70">
        <v>41.009</v>
      </c>
      <c r="P74" s="70">
        <v>42.113</v>
      </c>
      <c r="Q74" s="70">
        <v>4544.665</v>
      </c>
      <c r="R74" s="70">
        <v>50.81</v>
      </c>
      <c r="S74" s="17">
        <f t="shared" si="5"/>
        <v>36.61175</v>
      </c>
      <c r="T74" s="27">
        <f t="shared" si="7"/>
        <v>1.26240694444444</v>
      </c>
      <c r="U74" s="38"/>
      <c r="V74" s="47"/>
      <c r="W74" s="48"/>
      <c r="X74" s="48"/>
      <c r="Y74" s="48"/>
      <c r="Z74" s="47"/>
      <c r="AA74" s="48"/>
      <c r="AB74" s="49"/>
    </row>
    <row r="75" spans="1:28">
      <c r="A75" s="12"/>
      <c r="B75" s="9" t="s">
        <v>44</v>
      </c>
      <c r="C75" s="9">
        <v>22</v>
      </c>
      <c r="D75" s="72">
        <v>27326.52</v>
      </c>
      <c r="E75" s="73">
        <v>43.948</v>
      </c>
      <c r="F75" s="73">
        <v>47.949</v>
      </c>
      <c r="G75" s="73">
        <v>48.488</v>
      </c>
      <c r="H75" s="73">
        <v>5511.95</v>
      </c>
      <c r="I75" s="73">
        <v>49.451</v>
      </c>
      <c r="J75" s="11">
        <f t="shared" si="4"/>
        <v>45.015625</v>
      </c>
      <c r="K75" s="21">
        <f t="shared" si="6"/>
        <v>1.53109722222222</v>
      </c>
      <c r="M75" s="63">
        <v>27326.52</v>
      </c>
      <c r="N75" s="64">
        <v>43.948</v>
      </c>
      <c r="O75" s="64">
        <v>47.949</v>
      </c>
      <c r="P75" s="64">
        <v>48.488</v>
      </c>
      <c r="Q75" s="64">
        <v>5474.642</v>
      </c>
      <c r="R75" s="64">
        <v>65.525</v>
      </c>
      <c r="S75" s="11">
        <f t="shared" si="5"/>
        <v>45.015625</v>
      </c>
      <c r="T75" s="21">
        <f t="shared" si="7"/>
        <v>1.52073388888889</v>
      </c>
      <c r="U75" s="38"/>
      <c r="V75" s="39">
        <f>bdrate($D75:$D78,E75:E78,$M75:$M78,N75:N78)</f>
        <v>0</v>
      </c>
      <c r="W75" s="40">
        <f>bdrate($D75:$D78,F75:F78,$M75:$M78,O75:O78)</f>
        <v>0</v>
      </c>
      <c r="X75" s="40">
        <f>bdrate($D75:$D78,G75:G78,$M75:$M78,P75:P78)</f>
        <v>0</v>
      </c>
      <c r="Y75" s="40">
        <f>bdrate(D75:D78,J75:J78,M75:M78,S75:S78)</f>
        <v>0</v>
      </c>
      <c r="Z75" s="54">
        <f>bdrateOld($D75:$D78,E75:E78,$M75:$M78,N75:N78)</f>
        <v>0</v>
      </c>
      <c r="AA75" s="55">
        <f>bdrateOld($D75:$D78,F75:F78,$M75:$M78,O75:O78)</f>
        <v>0</v>
      </c>
      <c r="AB75" s="56">
        <f>bdrateOld($D75:$D78,G75:G78,$M75:$M78,P75:P78)</f>
        <v>0</v>
      </c>
    </row>
    <row r="76" spans="1:28">
      <c r="A76" s="12"/>
      <c r="B76" s="12"/>
      <c r="C76" s="12">
        <v>27</v>
      </c>
      <c r="D76" s="74">
        <v>15731.26</v>
      </c>
      <c r="E76" s="75">
        <v>41.552</v>
      </c>
      <c r="F76" s="75">
        <v>45.901</v>
      </c>
      <c r="G76" s="75">
        <v>46.435</v>
      </c>
      <c r="H76" s="75">
        <v>4828.29</v>
      </c>
      <c r="I76" s="75">
        <v>79.885</v>
      </c>
      <c r="J76" s="14">
        <f t="shared" si="4"/>
        <v>42.706</v>
      </c>
      <c r="K76" s="24">
        <f t="shared" si="6"/>
        <v>1.34119166666667</v>
      </c>
      <c r="M76" s="66">
        <v>15731.26</v>
      </c>
      <c r="N76" s="67">
        <v>41.552</v>
      </c>
      <c r="O76" s="67">
        <v>45.901</v>
      </c>
      <c r="P76" s="67">
        <v>46.435</v>
      </c>
      <c r="Q76" s="67">
        <v>4919.89</v>
      </c>
      <c r="R76" s="67">
        <v>131.509</v>
      </c>
      <c r="S76" s="14">
        <f t="shared" si="5"/>
        <v>42.706</v>
      </c>
      <c r="T76" s="24">
        <f t="shared" si="7"/>
        <v>1.36663611111111</v>
      </c>
      <c r="U76" s="38"/>
      <c r="V76" s="43"/>
      <c r="W76" s="44"/>
      <c r="X76" s="44"/>
      <c r="Y76" s="44"/>
      <c r="Z76" s="43"/>
      <c r="AA76" s="44"/>
      <c r="AB76" s="45"/>
    </row>
    <row r="77" spans="1:28">
      <c r="A77" s="12"/>
      <c r="B77" s="12"/>
      <c r="C77" s="12">
        <v>32</v>
      </c>
      <c r="D77" s="74">
        <v>8892.28</v>
      </c>
      <c r="E77" s="75">
        <v>38.847</v>
      </c>
      <c r="F77" s="75">
        <v>43.951</v>
      </c>
      <c r="G77" s="75">
        <v>44.442</v>
      </c>
      <c r="H77" s="75">
        <v>4455.172</v>
      </c>
      <c r="I77" s="75">
        <v>51.442</v>
      </c>
      <c r="J77" s="14">
        <f t="shared" si="4"/>
        <v>40.184375</v>
      </c>
      <c r="K77" s="24">
        <f t="shared" si="6"/>
        <v>1.23754777777778</v>
      </c>
      <c r="M77" s="66">
        <v>8892.28</v>
      </c>
      <c r="N77" s="67">
        <v>38.847</v>
      </c>
      <c r="O77" s="67">
        <v>43.951</v>
      </c>
      <c r="P77" s="67">
        <v>44.442</v>
      </c>
      <c r="Q77" s="67">
        <v>4583.944</v>
      </c>
      <c r="R77" s="67">
        <v>127.49</v>
      </c>
      <c r="S77" s="14">
        <f t="shared" si="5"/>
        <v>40.184375</v>
      </c>
      <c r="T77" s="24">
        <f t="shared" si="7"/>
        <v>1.27331777777778</v>
      </c>
      <c r="U77" s="38"/>
      <c r="V77" s="43"/>
      <c r="W77" s="44"/>
      <c r="X77" s="44"/>
      <c r="Y77" s="44"/>
      <c r="Z77" s="43"/>
      <c r="AA77" s="44"/>
      <c r="AB77" s="45"/>
    </row>
    <row r="78" ht="12.15" spans="1:28">
      <c r="A78" s="12"/>
      <c r="B78" s="15"/>
      <c r="C78" s="15">
        <v>37</v>
      </c>
      <c r="D78" s="76">
        <v>4970.87</v>
      </c>
      <c r="E78" s="77">
        <v>36.203</v>
      </c>
      <c r="F78" s="77">
        <v>42.093</v>
      </c>
      <c r="G78" s="77">
        <v>42.489</v>
      </c>
      <c r="H78" s="77">
        <v>4321.748</v>
      </c>
      <c r="I78" s="77">
        <v>46.288</v>
      </c>
      <c r="J78" s="17">
        <f t="shared" si="4"/>
        <v>37.725</v>
      </c>
      <c r="K78" s="27">
        <f t="shared" si="6"/>
        <v>1.20048555555556</v>
      </c>
      <c r="M78" s="69">
        <v>4970.87</v>
      </c>
      <c r="N78" s="70">
        <v>36.203</v>
      </c>
      <c r="O78" s="70">
        <v>42.093</v>
      </c>
      <c r="P78" s="70">
        <v>42.489</v>
      </c>
      <c r="Q78" s="70">
        <v>4378.116</v>
      </c>
      <c r="R78" s="70">
        <v>96.748</v>
      </c>
      <c r="S78" s="17">
        <f t="shared" si="5"/>
        <v>37.725</v>
      </c>
      <c r="T78" s="27">
        <f t="shared" si="7"/>
        <v>1.21614333333333</v>
      </c>
      <c r="U78" s="38"/>
      <c r="V78" s="47"/>
      <c r="W78" s="48"/>
      <c r="X78" s="48"/>
      <c r="Y78" s="48"/>
      <c r="Z78" s="47"/>
      <c r="AA78" s="48"/>
      <c r="AB78" s="49"/>
    </row>
    <row r="79" spans="1:28">
      <c r="A79" s="12"/>
      <c r="B79" s="9" t="s">
        <v>45</v>
      </c>
      <c r="C79" s="9">
        <v>22</v>
      </c>
      <c r="D79" s="72">
        <v>28846.02</v>
      </c>
      <c r="E79" s="73">
        <v>44.287</v>
      </c>
      <c r="F79" s="73">
        <v>47.396</v>
      </c>
      <c r="G79" s="73">
        <v>48.211</v>
      </c>
      <c r="H79" s="73">
        <v>5532.832</v>
      </c>
      <c r="I79" s="73">
        <v>53.636</v>
      </c>
      <c r="J79" s="11">
        <f t="shared" si="4"/>
        <v>45.166125</v>
      </c>
      <c r="K79" s="21">
        <f t="shared" si="6"/>
        <v>1.53689777777778</v>
      </c>
      <c r="M79" s="63">
        <v>28846.02</v>
      </c>
      <c r="N79" s="64">
        <v>44.287</v>
      </c>
      <c r="O79" s="64">
        <v>47.396</v>
      </c>
      <c r="P79" s="64">
        <v>48.211</v>
      </c>
      <c r="Q79" s="64">
        <v>5540.851</v>
      </c>
      <c r="R79" s="64">
        <v>71.171</v>
      </c>
      <c r="S79" s="11">
        <f t="shared" si="5"/>
        <v>45.166125</v>
      </c>
      <c r="T79" s="21">
        <f t="shared" si="7"/>
        <v>1.53912527777778</v>
      </c>
      <c r="U79" s="38"/>
      <c r="V79" s="39">
        <f>bdrate($D79:$D82,E79:E82,$M79:$M82,N79:N82)</f>
        <v>0</v>
      </c>
      <c r="W79" s="40">
        <f>bdrate($D79:$D82,F79:F82,$M79:$M82,O79:O82)</f>
        <v>0</v>
      </c>
      <c r="X79" s="40">
        <f>bdrate($D79:$D82,G79:G82,$M79:$M82,P79:P82)</f>
        <v>0</v>
      </c>
      <c r="Y79" s="40">
        <f>bdrate(D79:D82,J79:J82,M79:M82,S79:S82)</f>
        <v>0</v>
      </c>
      <c r="Z79" s="54">
        <f>bdrateOld($D79:$D82,E79:E82,$M79:$M82,N79:N82)</f>
        <v>0</v>
      </c>
      <c r="AA79" s="55">
        <f>bdrateOld($D79:$D82,F79:F82,$M79:$M82,O79:O82)</f>
        <v>0</v>
      </c>
      <c r="AB79" s="56">
        <f>bdrateOld($D79:$D82,G79:G82,$M79:$M82,P79:P82)</f>
        <v>0</v>
      </c>
    </row>
    <row r="80" spans="1:28">
      <c r="A80" s="12"/>
      <c r="B80" s="12"/>
      <c r="C80" s="12">
        <v>27</v>
      </c>
      <c r="D80" s="74">
        <v>17510.49</v>
      </c>
      <c r="E80" s="75">
        <v>41.847</v>
      </c>
      <c r="F80" s="75">
        <v>45.192</v>
      </c>
      <c r="G80" s="75">
        <v>46.134</v>
      </c>
      <c r="H80" s="75">
        <v>4829.392</v>
      </c>
      <c r="I80" s="75">
        <v>58.751</v>
      </c>
      <c r="J80" s="14">
        <f t="shared" si="4"/>
        <v>42.801</v>
      </c>
      <c r="K80" s="24">
        <f t="shared" si="6"/>
        <v>1.34149777777778</v>
      </c>
      <c r="M80" s="66">
        <v>17510.49</v>
      </c>
      <c r="N80" s="67">
        <v>41.847</v>
      </c>
      <c r="O80" s="67">
        <v>45.192</v>
      </c>
      <c r="P80" s="67">
        <v>46.134</v>
      </c>
      <c r="Q80" s="67">
        <v>5056.574</v>
      </c>
      <c r="R80" s="67">
        <v>84.025</v>
      </c>
      <c r="S80" s="14">
        <f t="shared" si="5"/>
        <v>42.801</v>
      </c>
      <c r="T80" s="24">
        <f t="shared" si="7"/>
        <v>1.40460388888889</v>
      </c>
      <c r="U80" s="38"/>
      <c r="V80" s="43"/>
      <c r="W80" s="44"/>
      <c r="X80" s="44"/>
      <c r="Y80" s="44"/>
      <c r="Z80" s="43"/>
      <c r="AA80" s="44"/>
      <c r="AB80" s="45"/>
    </row>
    <row r="81" spans="1:28">
      <c r="A81" s="12"/>
      <c r="B81" s="12"/>
      <c r="C81" s="12">
        <v>32</v>
      </c>
      <c r="D81" s="74">
        <v>10596.62</v>
      </c>
      <c r="E81" s="75">
        <v>39.063</v>
      </c>
      <c r="F81" s="75">
        <v>43.123</v>
      </c>
      <c r="G81" s="75">
        <v>44.149</v>
      </c>
      <c r="H81" s="75">
        <v>4436.423</v>
      </c>
      <c r="I81" s="75">
        <v>108.716</v>
      </c>
      <c r="J81" s="14">
        <f t="shared" si="4"/>
        <v>40.20625</v>
      </c>
      <c r="K81" s="24">
        <f t="shared" si="6"/>
        <v>1.23233972222222</v>
      </c>
      <c r="M81" s="66">
        <v>10596.62</v>
      </c>
      <c r="N81" s="67">
        <v>39.063</v>
      </c>
      <c r="O81" s="67">
        <v>43.123</v>
      </c>
      <c r="P81" s="67">
        <v>44.149</v>
      </c>
      <c r="Q81" s="67">
        <v>4567.687</v>
      </c>
      <c r="R81" s="67">
        <v>51.623</v>
      </c>
      <c r="S81" s="14">
        <f t="shared" si="5"/>
        <v>40.20625</v>
      </c>
      <c r="T81" s="24">
        <f t="shared" si="7"/>
        <v>1.26880194444444</v>
      </c>
      <c r="U81" s="38"/>
      <c r="V81" s="43"/>
      <c r="W81" s="44"/>
      <c r="X81" s="44"/>
      <c r="Y81" s="44"/>
      <c r="Z81" s="43"/>
      <c r="AA81" s="44"/>
      <c r="AB81" s="45"/>
    </row>
    <row r="82" ht="12.15" spans="1:28">
      <c r="A82" s="15"/>
      <c r="B82" s="15"/>
      <c r="C82" s="15">
        <v>37</v>
      </c>
      <c r="D82" s="76">
        <v>6543.41</v>
      </c>
      <c r="E82" s="77">
        <v>36.247</v>
      </c>
      <c r="F82" s="77">
        <v>41.338</v>
      </c>
      <c r="G82" s="77">
        <v>42.313</v>
      </c>
      <c r="H82" s="77">
        <v>4233.401</v>
      </c>
      <c r="I82" s="77">
        <v>56.811</v>
      </c>
      <c r="J82" s="17">
        <f t="shared" si="4"/>
        <v>37.641625</v>
      </c>
      <c r="K82" s="27">
        <f t="shared" si="6"/>
        <v>1.17594472222222</v>
      </c>
      <c r="M82" s="69">
        <v>6543.41</v>
      </c>
      <c r="N82" s="70">
        <v>36.247</v>
      </c>
      <c r="O82" s="70">
        <v>41.338</v>
      </c>
      <c r="P82" s="70">
        <v>42.313</v>
      </c>
      <c r="Q82" s="70">
        <v>4385.759</v>
      </c>
      <c r="R82" s="70">
        <v>58.048</v>
      </c>
      <c r="S82" s="17">
        <f t="shared" si="5"/>
        <v>37.641625</v>
      </c>
      <c r="T82" s="27">
        <f t="shared" si="7"/>
        <v>1.21826638888889</v>
      </c>
      <c r="U82" s="38"/>
      <c r="V82" s="47"/>
      <c r="W82" s="48"/>
      <c r="X82" s="48"/>
      <c r="Y82" s="48"/>
      <c r="Z82" s="47"/>
      <c r="AA82" s="48"/>
      <c r="AB82" s="49"/>
    </row>
    <row r="83" spans="1:28">
      <c r="A83" s="9" t="s">
        <v>46</v>
      </c>
      <c r="B83" s="9" t="s">
        <v>47</v>
      </c>
      <c r="C83" s="9">
        <v>22</v>
      </c>
      <c r="D83" s="72">
        <v>29007.57</v>
      </c>
      <c r="E83" s="73">
        <v>41.65</v>
      </c>
      <c r="F83" s="73">
        <v>43.677</v>
      </c>
      <c r="G83" s="73">
        <v>44.276</v>
      </c>
      <c r="H83" s="73">
        <v>2734.349</v>
      </c>
      <c r="I83" s="73">
        <v>38.677</v>
      </c>
      <c r="J83" s="11">
        <f t="shared" si="4"/>
        <v>42.231625</v>
      </c>
      <c r="K83" s="21">
        <f t="shared" si="6"/>
        <v>0.759541388888889</v>
      </c>
      <c r="M83" s="63">
        <v>29007.57</v>
      </c>
      <c r="N83" s="64">
        <v>41.65</v>
      </c>
      <c r="O83" s="64">
        <v>43.677</v>
      </c>
      <c r="P83" s="64">
        <v>44.276</v>
      </c>
      <c r="Q83" s="64">
        <v>2736.695</v>
      </c>
      <c r="R83" s="64">
        <v>32.037</v>
      </c>
      <c r="S83" s="11">
        <f t="shared" si="5"/>
        <v>42.231625</v>
      </c>
      <c r="T83" s="21">
        <f t="shared" si="7"/>
        <v>0.760193055555556</v>
      </c>
      <c r="U83" s="38"/>
      <c r="V83" s="39">
        <f>bdrate($D83:$D86,E83:E86,$M83:$M86,N83:N86)</f>
        <v>0</v>
      </c>
      <c r="W83" s="40">
        <f>bdrate($D83:$D86,F83:F86,$M83:$M86,O83:O86)</f>
        <v>0</v>
      </c>
      <c r="X83" s="40">
        <f>bdrate($D83:$D86,G83:G86,$M83:$M86,P83:P86)</f>
        <v>0</v>
      </c>
      <c r="Y83" s="40">
        <f>bdrate(D83:D86,J83:J86,M83:M86,S83:S86)</f>
        <v>0</v>
      </c>
      <c r="Z83" s="54">
        <f>bdrateOld($D83:$D86,E83:E86,$M83:$M86,N83:N86)</f>
        <v>0</v>
      </c>
      <c r="AA83" s="55">
        <f>bdrateOld($D83:$D86,F83:F86,$M83:$M86,O83:O86)</f>
        <v>0</v>
      </c>
      <c r="AB83" s="56">
        <f>bdrateOld($D83:$D86,G83:G86,$M83:$M86,P83:P86)</f>
        <v>0</v>
      </c>
    </row>
    <row r="84" spans="1:28">
      <c r="A84" s="12" t="s">
        <v>48</v>
      </c>
      <c r="B84" s="12"/>
      <c r="C84" s="12">
        <v>27</v>
      </c>
      <c r="D84" s="74">
        <v>16962.67</v>
      </c>
      <c r="E84" s="75">
        <v>38.037</v>
      </c>
      <c r="F84" s="75">
        <v>40.474</v>
      </c>
      <c r="G84" s="75">
        <v>40.664</v>
      </c>
      <c r="H84" s="75">
        <v>2302.447</v>
      </c>
      <c r="I84" s="75">
        <v>33.363</v>
      </c>
      <c r="J84" s="14">
        <f t="shared" si="4"/>
        <v>38.67</v>
      </c>
      <c r="K84" s="24">
        <f t="shared" si="6"/>
        <v>0.639568611111111</v>
      </c>
      <c r="M84" s="66">
        <v>16962.67</v>
      </c>
      <c r="N84" s="67">
        <v>38.037</v>
      </c>
      <c r="O84" s="67">
        <v>40.474</v>
      </c>
      <c r="P84" s="67">
        <v>40.664</v>
      </c>
      <c r="Q84" s="67">
        <v>2232.933</v>
      </c>
      <c r="R84" s="67">
        <v>27.277</v>
      </c>
      <c r="S84" s="14">
        <f t="shared" si="5"/>
        <v>38.67</v>
      </c>
      <c r="T84" s="24">
        <f t="shared" si="7"/>
        <v>0.620259166666667</v>
      </c>
      <c r="U84" s="38"/>
      <c r="V84" s="43"/>
      <c r="W84" s="44"/>
      <c r="X84" s="44"/>
      <c r="Y84" s="44"/>
      <c r="Z84" s="43"/>
      <c r="AA84" s="44"/>
      <c r="AB84" s="45"/>
    </row>
    <row r="85" spans="1:28">
      <c r="A85" s="12"/>
      <c r="B85" s="12"/>
      <c r="C85" s="12">
        <v>32</v>
      </c>
      <c r="D85" s="74">
        <v>9711.37</v>
      </c>
      <c r="E85" s="75">
        <v>35.062</v>
      </c>
      <c r="F85" s="75">
        <v>37.5</v>
      </c>
      <c r="G85" s="75">
        <v>37.572</v>
      </c>
      <c r="H85" s="75">
        <v>1910.56</v>
      </c>
      <c r="I85" s="75">
        <v>65.891</v>
      </c>
      <c r="J85" s="14">
        <f t="shared" si="4"/>
        <v>35.6805</v>
      </c>
      <c r="K85" s="24">
        <f t="shared" si="6"/>
        <v>0.530711111111111</v>
      </c>
      <c r="M85" s="66">
        <v>9711.37</v>
      </c>
      <c r="N85" s="67">
        <v>35.062</v>
      </c>
      <c r="O85" s="67">
        <v>37.5</v>
      </c>
      <c r="P85" s="67">
        <v>37.572</v>
      </c>
      <c r="Q85" s="67">
        <v>1937.963</v>
      </c>
      <c r="R85" s="67">
        <v>30.624</v>
      </c>
      <c r="S85" s="14">
        <f t="shared" si="5"/>
        <v>35.6805</v>
      </c>
      <c r="T85" s="24">
        <f t="shared" si="7"/>
        <v>0.538323055555556</v>
      </c>
      <c r="U85" s="38"/>
      <c r="V85" s="43"/>
      <c r="W85" s="44"/>
      <c r="X85" s="44"/>
      <c r="Y85" s="44"/>
      <c r="Z85" s="43"/>
      <c r="AA85" s="44"/>
      <c r="AB85" s="45"/>
    </row>
    <row r="86" ht="12.15" spans="1:28">
      <c r="A86" s="12"/>
      <c r="B86" s="15"/>
      <c r="C86" s="15">
        <v>37</v>
      </c>
      <c r="D86" s="76">
        <v>5580.85</v>
      </c>
      <c r="E86" s="77">
        <v>32.268</v>
      </c>
      <c r="F86" s="77">
        <v>34.947</v>
      </c>
      <c r="G86" s="77">
        <v>34.863</v>
      </c>
      <c r="H86" s="77">
        <v>1745.654</v>
      </c>
      <c r="I86" s="77">
        <v>27.412</v>
      </c>
      <c r="J86" s="17">
        <f t="shared" si="4"/>
        <v>32.92725</v>
      </c>
      <c r="K86" s="27">
        <f t="shared" si="6"/>
        <v>0.484903888888889</v>
      </c>
      <c r="M86" s="69">
        <v>5580.85</v>
      </c>
      <c r="N86" s="70">
        <v>32.268</v>
      </c>
      <c r="O86" s="70">
        <v>34.947</v>
      </c>
      <c r="P86" s="70">
        <v>34.863</v>
      </c>
      <c r="Q86" s="70">
        <v>1736.698</v>
      </c>
      <c r="R86" s="70">
        <v>33.814</v>
      </c>
      <c r="S86" s="17">
        <f t="shared" si="5"/>
        <v>32.92725</v>
      </c>
      <c r="T86" s="27">
        <f t="shared" si="7"/>
        <v>0.482416111111111</v>
      </c>
      <c r="U86" s="38"/>
      <c r="V86" s="47"/>
      <c r="W86" s="48"/>
      <c r="X86" s="48"/>
      <c r="Y86" s="48"/>
      <c r="Z86" s="47"/>
      <c r="AA86" s="48"/>
      <c r="AB86" s="49"/>
    </row>
    <row r="87" spans="1:28">
      <c r="A87" s="12"/>
      <c r="B87" s="9" t="s">
        <v>49</v>
      </c>
      <c r="C87" s="9">
        <v>22</v>
      </c>
      <c r="D87" s="72">
        <v>27952.29</v>
      </c>
      <c r="E87" s="73">
        <v>43.381</v>
      </c>
      <c r="F87" s="73">
        <v>46.506</v>
      </c>
      <c r="G87" s="73">
        <v>46.796</v>
      </c>
      <c r="H87" s="73">
        <v>4780.558</v>
      </c>
      <c r="I87" s="73">
        <v>40.959</v>
      </c>
      <c r="J87" s="11">
        <f t="shared" si="4"/>
        <v>44.1985</v>
      </c>
      <c r="K87" s="21">
        <f t="shared" si="6"/>
        <v>1.32793277777778</v>
      </c>
      <c r="M87" s="63">
        <v>27952.29</v>
      </c>
      <c r="N87" s="64">
        <v>43.381</v>
      </c>
      <c r="O87" s="64">
        <v>46.506</v>
      </c>
      <c r="P87" s="64">
        <v>46.796</v>
      </c>
      <c r="Q87" s="64">
        <v>4853.536</v>
      </c>
      <c r="R87" s="64">
        <v>42.943</v>
      </c>
      <c r="S87" s="11">
        <f t="shared" si="5"/>
        <v>44.1985</v>
      </c>
      <c r="T87" s="21">
        <f t="shared" si="7"/>
        <v>1.34820444444444</v>
      </c>
      <c r="U87" s="38"/>
      <c r="V87" s="39">
        <f>bdrate($D87:$D90,E87:E90,$M87:$M90,N87:N90)</f>
        <v>0</v>
      </c>
      <c r="W87" s="40">
        <f>bdrate($D87:$D90,F87:F90,$M87:$M90,O87:O90)</f>
        <v>0</v>
      </c>
      <c r="X87" s="40">
        <f>bdrate($D87:$D90,G87:G90,$M87:$M90,P87:P90)</f>
        <v>0</v>
      </c>
      <c r="Y87" s="40">
        <f>bdrate(D87:D90,J87:J90,M87:M90,S87:S90)</f>
        <v>0</v>
      </c>
      <c r="Z87" s="54">
        <f>bdrateOld($D87:$D90,E87:E90,$M87:$M90,N87:N90)</f>
        <v>0</v>
      </c>
      <c r="AA87" s="55">
        <f>bdrateOld($D87:$D90,F87:F90,$M87:$M90,O87:O90)</f>
        <v>0</v>
      </c>
      <c r="AB87" s="56">
        <f>bdrateOld($D87:$D90,G87:G90,$M87:$M90,P87:P90)</f>
        <v>0</v>
      </c>
    </row>
    <row r="88" spans="1:28">
      <c r="A88" s="12"/>
      <c r="B88" s="12"/>
      <c r="C88" s="12">
        <v>27</v>
      </c>
      <c r="D88" s="74">
        <v>18869.38</v>
      </c>
      <c r="E88" s="75">
        <v>39.886</v>
      </c>
      <c r="F88" s="75">
        <v>43.032</v>
      </c>
      <c r="G88" s="75">
        <v>43.159</v>
      </c>
      <c r="H88" s="75">
        <v>4196.553</v>
      </c>
      <c r="I88" s="75">
        <v>39.702</v>
      </c>
      <c r="J88" s="14">
        <f t="shared" si="4"/>
        <v>40.688375</v>
      </c>
      <c r="K88" s="24">
        <f t="shared" si="6"/>
        <v>1.16570916666667</v>
      </c>
      <c r="M88" s="66">
        <v>18869.38</v>
      </c>
      <c r="N88" s="67">
        <v>39.886</v>
      </c>
      <c r="O88" s="67">
        <v>43.032</v>
      </c>
      <c r="P88" s="67">
        <v>43.159</v>
      </c>
      <c r="Q88" s="67">
        <v>4256.509</v>
      </c>
      <c r="R88" s="67">
        <v>45.312</v>
      </c>
      <c r="S88" s="14">
        <f t="shared" si="5"/>
        <v>40.688375</v>
      </c>
      <c r="T88" s="24">
        <f t="shared" si="7"/>
        <v>1.18236361111111</v>
      </c>
      <c r="U88" s="38"/>
      <c r="V88" s="43"/>
      <c r="W88" s="44"/>
      <c r="X88" s="44"/>
      <c r="Y88" s="44"/>
      <c r="Z88" s="43"/>
      <c r="AA88" s="44"/>
      <c r="AB88" s="45"/>
    </row>
    <row r="89" spans="1:28">
      <c r="A89" s="12"/>
      <c r="B89" s="12"/>
      <c r="C89" s="12">
        <v>32</v>
      </c>
      <c r="D89" s="74">
        <v>12333.14</v>
      </c>
      <c r="E89" s="75">
        <v>36.431</v>
      </c>
      <c r="F89" s="75">
        <v>40.48</v>
      </c>
      <c r="G89" s="75">
        <v>40.124</v>
      </c>
      <c r="H89" s="75">
        <v>3763.452</v>
      </c>
      <c r="I89" s="75">
        <v>43.87</v>
      </c>
      <c r="J89" s="14">
        <f t="shared" si="4"/>
        <v>37.39875</v>
      </c>
      <c r="K89" s="24">
        <f t="shared" si="6"/>
        <v>1.04540333333333</v>
      </c>
      <c r="M89" s="66">
        <v>12333.14</v>
      </c>
      <c r="N89" s="67">
        <v>36.431</v>
      </c>
      <c r="O89" s="67">
        <v>40.48</v>
      </c>
      <c r="P89" s="67">
        <v>40.124</v>
      </c>
      <c r="Q89" s="67">
        <v>3839.402</v>
      </c>
      <c r="R89" s="67">
        <v>39.36</v>
      </c>
      <c r="S89" s="14">
        <f t="shared" si="5"/>
        <v>37.39875</v>
      </c>
      <c r="T89" s="24">
        <f t="shared" si="7"/>
        <v>1.06650055555556</v>
      </c>
      <c r="U89" s="38"/>
      <c r="V89" s="43"/>
      <c r="W89" s="44"/>
      <c r="X89" s="44"/>
      <c r="Y89" s="44"/>
      <c r="Z89" s="43"/>
      <c r="AA89" s="44"/>
      <c r="AB89" s="45"/>
    </row>
    <row r="90" ht="12.15" spans="1:28">
      <c r="A90" s="12"/>
      <c r="B90" s="15"/>
      <c r="C90" s="15">
        <v>37</v>
      </c>
      <c r="D90" s="76">
        <v>7888.15</v>
      </c>
      <c r="E90" s="77">
        <v>32.996</v>
      </c>
      <c r="F90" s="77">
        <v>38.127</v>
      </c>
      <c r="G90" s="77">
        <v>37.267</v>
      </c>
      <c r="H90" s="77">
        <v>3432.849</v>
      </c>
      <c r="I90" s="77">
        <v>29.196</v>
      </c>
      <c r="J90" s="17">
        <f t="shared" si="4"/>
        <v>34.17125</v>
      </c>
      <c r="K90" s="27">
        <f t="shared" si="6"/>
        <v>0.953569166666667</v>
      </c>
      <c r="M90" s="69">
        <v>7888.15</v>
      </c>
      <c r="N90" s="70">
        <v>32.996</v>
      </c>
      <c r="O90" s="70">
        <v>38.127</v>
      </c>
      <c r="P90" s="70">
        <v>37.267</v>
      </c>
      <c r="Q90" s="70">
        <v>3429.212</v>
      </c>
      <c r="R90" s="70">
        <v>29.737</v>
      </c>
      <c r="S90" s="17">
        <f t="shared" si="5"/>
        <v>34.17125</v>
      </c>
      <c r="T90" s="27">
        <f t="shared" si="7"/>
        <v>0.952558888888889</v>
      </c>
      <c r="U90" s="38"/>
      <c r="V90" s="47"/>
      <c r="W90" s="48"/>
      <c r="X90" s="48"/>
      <c r="Y90" s="48"/>
      <c r="Z90" s="47"/>
      <c r="AA90" s="48"/>
      <c r="AB90" s="49"/>
    </row>
    <row r="91" spans="1:28">
      <c r="A91" s="12"/>
      <c r="B91" s="9" t="s">
        <v>50</v>
      </c>
      <c r="C91" s="9">
        <v>22</v>
      </c>
      <c r="D91" s="72">
        <v>40743</v>
      </c>
      <c r="E91" s="73">
        <v>42.72</v>
      </c>
      <c r="F91" s="73">
        <v>44.742</v>
      </c>
      <c r="G91" s="73">
        <v>44.867</v>
      </c>
      <c r="H91" s="73">
        <v>3608.202</v>
      </c>
      <c r="I91" s="73">
        <v>37.233</v>
      </c>
      <c r="J91" s="11">
        <f t="shared" si="4"/>
        <v>43.241125</v>
      </c>
      <c r="K91" s="21">
        <f t="shared" si="6"/>
        <v>1.00227833333333</v>
      </c>
      <c r="M91" s="63">
        <v>40743</v>
      </c>
      <c r="N91" s="64">
        <v>42.72</v>
      </c>
      <c r="O91" s="64">
        <v>44.742</v>
      </c>
      <c r="P91" s="64">
        <v>44.867</v>
      </c>
      <c r="Q91" s="64">
        <v>3722.148</v>
      </c>
      <c r="R91" s="64">
        <v>35.284</v>
      </c>
      <c r="S91" s="11">
        <f t="shared" si="5"/>
        <v>43.241125</v>
      </c>
      <c r="T91" s="21">
        <f t="shared" si="7"/>
        <v>1.03393</v>
      </c>
      <c r="U91" s="38"/>
      <c r="V91" s="39">
        <f>bdrate($D91:$D94,E91:E94,$M91:$M94,N91:N94)</f>
        <v>0</v>
      </c>
      <c r="W91" s="40">
        <f>bdrate($D91:$D94,F91:F94,$M91:$M94,O91:O94)</f>
        <v>0</v>
      </c>
      <c r="X91" s="40">
        <f>bdrate($D91:$D94,G91:G94,$M91:$M94,P91:P94)</f>
        <v>0</v>
      </c>
      <c r="Y91" s="40">
        <f>bdrate(D91:D94,J91:J94,M91:M94,S91:S94)</f>
        <v>0</v>
      </c>
      <c r="Z91" s="54">
        <f>bdrateOld($D91:$D94,E91:E94,$M91:$M94,N91:N94)</f>
        <v>0</v>
      </c>
      <c r="AA91" s="55">
        <f>bdrateOld($D91:$D94,F91:F94,$M91:$M94,O91:O94)</f>
        <v>0</v>
      </c>
      <c r="AB91" s="56">
        <f>bdrateOld($D91:$D94,G91:G94,$M91:$M94,P91:P94)</f>
        <v>0</v>
      </c>
    </row>
    <row r="92" spans="1:28">
      <c r="A92" s="12"/>
      <c r="B92" s="12"/>
      <c r="C92" s="12">
        <v>27</v>
      </c>
      <c r="D92" s="74">
        <v>30311.24</v>
      </c>
      <c r="E92" s="75">
        <v>39.352</v>
      </c>
      <c r="F92" s="75">
        <v>40.76</v>
      </c>
      <c r="G92" s="75">
        <v>40.925</v>
      </c>
      <c r="H92" s="75">
        <v>3250.32</v>
      </c>
      <c r="I92" s="75">
        <v>34.631</v>
      </c>
      <c r="J92" s="14">
        <f t="shared" si="4"/>
        <v>39.724625</v>
      </c>
      <c r="K92" s="24">
        <f t="shared" si="6"/>
        <v>0.902866666666667</v>
      </c>
      <c r="M92" s="66">
        <v>30311.24</v>
      </c>
      <c r="N92" s="67">
        <v>39.352</v>
      </c>
      <c r="O92" s="67">
        <v>40.76</v>
      </c>
      <c r="P92" s="67">
        <v>40.925</v>
      </c>
      <c r="Q92" s="67">
        <v>3295.776</v>
      </c>
      <c r="R92" s="67">
        <v>36.372</v>
      </c>
      <c r="S92" s="14">
        <f t="shared" si="5"/>
        <v>39.724625</v>
      </c>
      <c r="T92" s="24">
        <f t="shared" si="7"/>
        <v>0.915493333333333</v>
      </c>
      <c r="U92" s="38"/>
      <c r="V92" s="43"/>
      <c r="W92" s="44"/>
      <c r="X92" s="44"/>
      <c r="Y92" s="44"/>
      <c r="Z92" s="43"/>
      <c r="AA92" s="44"/>
      <c r="AB92" s="45"/>
    </row>
    <row r="93" spans="1:28">
      <c r="A93" s="12"/>
      <c r="B93" s="12"/>
      <c r="C93" s="12">
        <v>32</v>
      </c>
      <c r="D93" s="74">
        <v>22555.1</v>
      </c>
      <c r="E93" s="75">
        <v>35.703</v>
      </c>
      <c r="F93" s="75">
        <v>38.529</v>
      </c>
      <c r="G93" s="75">
        <v>38.573</v>
      </c>
      <c r="H93" s="75">
        <v>2933.672</v>
      </c>
      <c r="I93" s="75">
        <v>32.833</v>
      </c>
      <c r="J93" s="14">
        <f t="shared" si="4"/>
        <v>36.415</v>
      </c>
      <c r="K93" s="24">
        <f t="shared" si="6"/>
        <v>0.814908888888889</v>
      </c>
      <c r="M93" s="66">
        <v>22555.1</v>
      </c>
      <c r="N93" s="67">
        <v>35.703</v>
      </c>
      <c r="O93" s="67">
        <v>38.529</v>
      </c>
      <c r="P93" s="67">
        <v>38.573</v>
      </c>
      <c r="Q93" s="67">
        <v>3045.632</v>
      </c>
      <c r="R93" s="67">
        <v>52.143</v>
      </c>
      <c r="S93" s="14">
        <f t="shared" si="5"/>
        <v>36.415</v>
      </c>
      <c r="T93" s="24">
        <f t="shared" si="7"/>
        <v>0.846008888888889</v>
      </c>
      <c r="U93" s="38"/>
      <c r="V93" s="43"/>
      <c r="W93" s="44"/>
      <c r="X93" s="44"/>
      <c r="Y93" s="44"/>
      <c r="Z93" s="43"/>
      <c r="AA93" s="44"/>
      <c r="AB93" s="45"/>
    </row>
    <row r="94" ht="12.15" spans="1:28">
      <c r="A94" s="12"/>
      <c r="B94" s="15"/>
      <c r="C94" s="15">
        <v>37</v>
      </c>
      <c r="D94" s="76">
        <v>16214.15</v>
      </c>
      <c r="E94" s="77">
        <v>31.306</v>
      </c>
      <c r="F94" s="77">
        <v>37.286</v>
      </c>
      <c r="G94" s="77">
        <v>36.476</v>
      </c>
      <c r="H94" s="77">
        <v>2753.89</v>
      </c>
      <c r="I94" s="77">
        <v>31.31</v>
      </c>
      <c r="J94" s="17">
        <f t="shared" si="4"/>
        <v>32.69975</v>
      </c>
      <c r="K94" s="27">
        <f t="shared" si="6"/>
        <v>0.764969444444444</v>
      </c>
      <c r="M94" s="69">
        <v>16214.15</v>
      </c>
      <c r="N94" s="70">
        <v>31.306</v>
      </c>
      <c r="O94" s="70">
        <v>37.286</v>
      </c>
      <c r="P94" s="70">
        <v>36.476</v>
      </c>
      <c r="Q94" s="70">
        <v>2763.187</v>
      </c>
      <c r="R94" s="70">
        <v>30.818</v>
      </c>
      <c r="S94" s="17">
        <f t="shared" si="5"/>
        <v>32.69975</v>
      </c>
      <c r="T94" s="27">
        <f t="shared" si="7"/>
        <v>0.767551944444444</v>
      </c>
      <c r="U94" s="38"/>
      <c r="V94" s="47"/>
      <c r="W94" s="48"/>
      <c r="X94" s="48"/>
      <c r="Y94" s="48"/>
      <c r="Z94" s="47"/>
      <c r="AA94" s="48"/>
      <c r="AB94" s="49"/>
    </row>
    <row r="95" spans="1:28">
      <c r="A95" s="12"/>
      <c r="B95" s="9" t="s">
        <v>51</v>
      </c>
      <c r="C95" s="9">
        <v>22</v>
      </c>
      <c r="D95" s="72">
        <v>6396.99</v>
      </c>
      <c r="E95" s="73">
        <v>48.201</v>
      </c>
      <c r="F95" s="73">
        <v>52.848</v>
      </c>
      <c r="G95" s="73">
        <v>53.798</v>
      </c>
      <c r="H95" s="73">
        <v>3555.157</v>
      </c>
      <c r="I95" s="73">
        <v>54.953</v>
      </c>
      <c r="J95" s="11">
        <f t="shared" si="4"/>
        <v>49.4815</v>
      </c>
      <c r="K95" s="21">
        <f t="shared" si="6"/>
        <v>0.987543611111111</v>
      </c>
      <c r="M95" s="63">
        <v>6396.99</v>
      </c>
      <c r="N95" s="64">
        <v>48.201</v>
      </c>
      <c r="O95" s="64">
        <v>52.848</v>
      </c>
      <c r="P95" s="64">
        <v>53.798</v>
      </c>
      <c r="Q95" s="64">
        <v>3613.976</v>
      </c>
      <c r="R95" s="64">
        <v>52.885</v>
      </c>
      <c r="S95" s="11">
        <f t="shared" si="5"/>
        <v>49.4815</v>
      </c>
      <c r="T95" s="21">
        <f t="shared" si="7"/>
        <v>1.00388222222222</v>
      </c>
      <c r="U95" s="38"/>
      <c r="V95" s="39">
        <f>bdrate($D95:$D98,E95:E98,$M95:$M98,N95:N98)</f>
        <v>0</v>
      </c>
      <c r="W95" s="40">
        <f>bdrate($D95:$D98,F95:F98,$M95:$M98,O95:O98)</f>
        <v>0</v>
      </c>
      <c r="X95" s="40">
        <f>bdrate($D95:$D98,G95:G98,$M95:$M98,P95:P98)</f>
        <v>0</v>
      </c>
      <c r="Y95" s="40">
        <f>bdrate(D95:D98,J95:J98,M95:M98,S95:S98)</f>
        <v>0</v>
      </c>
      <c r="Z95" s="54">
        <f>bdrateOld($D95:$D98,E95:E98,$M95:$M98,N95:N98)</f>
        <v>0</v>
      </c>
      <c r="AA95" s="55">
        <f>bdrateOld($D95:$D98,F95:F98,$M95:$M98,O95:O98)</f>
        <v>0</v>
      </c>
      <c r="AB95" s="56">
        <f>bdrateOld($D95:$D98,G95:G98,$M95:$M98,P95:P98)</f>
        <v>0</v>
      </c>
    </row>
    <row r="96" spans="1:28">
      <c r="A96" s="12"/>
      <c r="B96" s="12"/>
      <c r="C96" s="12">
        <v>27</v>
      </c>
      <c r="D96" s="74">
        <v>4367.2</v>
      </c>
      <c r="E96" s="75">
        <v>45.326</v>
      </c>
      <c r="F96" s="75">
        <v>48.856</v>
      </c>
      <c r="G96" s="75">
        <v>50.042</v>
      </c>
      <c r="H96" s="75">
        <v>3268.303</v>
      </c>
      <c r="I96" s="75">
        <v>43.194</v>
      </c>
      <c r="J96" s="14">
        <f t="shared" si="4"/>
        <v>46.35675</v>
      </c>
      <c r="K96" s="24">
        <f t="shared" si="6"/>
        <v>0.907861944444444</v>
      </c>
      <c r="M96" s="66">
        <v>4367.2</v>
      </c>
      <c r="N96" s="67">
        <v>45.326</v>
      </c>
      <c r="O96" s="67">
        <v>48.856</v>
      </c>
      <c r="P96" s="67">
        <v>50.042</v>
      </c>
      <c r="Q96" s="67">
        <v>3362.321</v>
      </c>
      <c r="R96" s="67">
        <v>70.434</v>
      </c>
      <c r="S96" s="14">
        <f t="shared" si="5"/>
        <v>46.35675</v>
      </c>
      <c r="T96" s="24">
        <f t="shared" si="7"/>
        <v>0.933978055555556</v>
      </c>
      <c r="U96" s="38"/>
      <c r="V96" s="43"/>
      <c r="W96" s="44"/>
      <c r="X96" s="44"/>
      <c r="Y96" s="44"/>
      <c r="Z96" s="43"/>
      <c r="AA96" s="44"/>
      <c r="AB96" s="45"/>
    </row>
    <row r="97" spans="1:28">
      <c r="A97" s="12"/>
      <c r="B97" s="12"/>
      <c r="C97" s="12">
        <v>32</v>
      </c>
      <c r="D97" s="74">
        <v>2925.83</v>
      </c>
      <c r="E97" s="75">
        <v>42.197</v>
      </c>
      <c r="F97" s="75">
        <v>45.836</v>
      </c>
      <c r="G97" s="75">
        <v>46.961</v>
      </c>
      <c r="H97" s="75">
        <v>3045.235</v>
      </c>
      <c r="I97" s="75">
        <v>44.673</v>
      </c>
      <c r="J97" s="14">
        <f t="shared" si="4"/>
        <v>43.247375</v>
      </c>
      <c r="K97" s="24">
        <f t="shared" si="6"/>
        <v>0.845898611111111</v>
      </c>
      <c r="M97" s="66">
        <v>2925.83</v>
      </c>
      <c r="N97" s="67">
        <v>42.197</v>
      </c>
      <c r="O97" s="67">
        <v>45.836</v>
      </c>
      <c r="P97" s="67">
        <v>46.961</v>
      </c>
      <c r="Q97" s="67">
        <v>3296.777</v>
      </c>
      <c r="R97" s="67">
        <v>62.843</v>
      </c>
      <c r="S97" s="14">
        <f t="shared" si="5"/>
        <v>43.247375</v>
      </c>
      <c r="T97" s="24">
        <f t="shared" si="7"/>
        <v>0.915771388888889</v>
      </c>
      <c r="U97" s="38"/>
      <c r="V97" s="43"/>
      <c r="W97" s="44"/>
      <c r="X97" s="44"/>
      <c r="Y97" s="44"/>
      <c r="Z97" s="43"/>
      <c r="AA97" s="44"/>
      <c r="AB97" s="45"/>
    </row>
    <row r="98" ht="12.15" spans="1:28">
      <c r="A98" s="15"/>
      <c r="B98" s="15"/>
      <c r="C98" s="15">
        <v>37</v>
      </c>
      <c r="D98" s="76">
        <v>1921.96</v>
      </c>
      <c r="E98" s="77">
        <v>38.683</v>
      </c>
      <c r="F98" s="77">
        <v>42.839</v>
      </c>
      <c r="G98" s="77">
        <v>44.188</v>
      </c>
      <c r="H98" s="77">
        <v>3114.371</v>
      </c>
      <c r="I98" s="77">
        <v>48.039</v>
      </c>
      <c r="J98" s="17">
        <f t="shared" si="4"/>
        <v>39.890625</v>
      </c>
      <c r="K98" s="27">
        <f t="shared" si="6"/>
        <v>0.865103055555556</v>
      </c>
      <c r="M98" s="69">
        <v>1921.96</v>
      </c>
      <c r="N98" s="70">
        <v>38.683</v>
      </c>
      <c r="O98" s="70">
        <v>42.839</v>
      </c>
      <c r="P98" s="70">
        <v>44.188</v>
      </c>
      <c r="Q98" s="70">
        <v>3035.536</v>
      </c>
      <c r="R98" s="70">
        <v>49.196</v>
      </c>
      <c r="S98" s="17">
        <f t="shared" si="5"/>
        <v>39.890625</v>
      </c>
      <c r="T98" s="27">
        <f t="shared" si="7"/>
        <v>0.843204444444444</v>
      </c>
      <c r="U98" s="38"/>
      <c r="V98" s="47"/>
      <c r="W98" s="48"/>
      <c r="X98" s="48"/>
      <c r="Y98" s="48"/>
      <c r="Z98" s="47"/>
      <c r="AA98" s="48"/>
      <c r="AB98" s="49"/>
    </row>
    <row r="99" spans="2:28">
      <c r="B99" s="1" t="s">
        <v>17</v>
      </c>
      <c r="V99" s="39">
        <f>AVERAGE(V3,V7,V11,V15)</f>
        <v>0</v>
      </c>
      <c r="W99" s="39">
        <f t="shared" ref="W99:AB99" si="8">AVERAGE(W3,W7,W11,W15)</f>
        <v>0</v>
      </c>
      <c r="X99" s="39">
        <f t="shared" si="8"/>
        <v>0</v>
      </c>
      <c r="Y99" s="39">
        <f t="shared" si="8"/>
        <v>0</v>
      </c>
      <c r="Z99" s="39">
        <f t="shared" si="8"/>
        <v>0</v>
      </c>
      <c r="AA99" s="39">
        <f t="shared" si="8"/>
        <v>0</v>
      </c>
      <c r="AB99" s="39">
        <f t="shared" si="8"/>
        <v>0</v>
      </c>
    </row>
    <row r="100" spans="2:28">
      <c r="B100" s="1" t="s">
        <v>23</v>
      </c>
      <c r="V100" s="54">
        <f t="shared" ref="V100:AB100" si="9">AVERAGE(V19,V23,V27,V31,V35)</f>
        <v>0</v>
      </c>
      <c r="W100" s="55">
        <f t="shared" si="9"/>
        <v>0</v>
      </c>
      <c r="X100" s="55">
        <f t="shared" si="9"/>
        <v>0</v>
      </c>
      <c r="Y100" s="55">
        <f t="shared" si="9"/>
        <v>0</v>
      </c>
      <c r="Z100" s="54">
        <f t="shared" si="9"/>
        <v>0</v>
      </c>
      <c r="AA100" s="55">
        <f t="shared" si="9"/>
        <v>0</v>
      </c>
      <c r="AB100" s="56">
        <f t="shared" si="9"/>
        <v>0</v>
      </c>
    </row>
    <row r="101" spans="2:28">
      <c r="B101" s="1" t="s">
        <v>30</v>
      </c>
      <c r="V101" s="54">
        <f t="shared" ref="V101:AB101" si="10">AVERAGE(V39,V43,V47,V51)</f>
        <v>0</v>
      </c>
      <c r="W101" s="55">
        <f t="shared" si="10"/>
        <v>0</v>
      </c>
      <c r="X101" s="55">
        <f t="shared" si="10"/>
        <v>0</v>
      </c>
      <c r="Y101" s="55">
        <f t="shared" si="10"/>
        <v>0</v>
      </c>
      <c r="Z101" s="54">
        <f t="shared" si="10"/>
        <v>0</v>
      </c>
      <c r="AA101" s="55">
        <f t="shared" si="10"/>
        <v>0</v>
      </c>
      <c r="AB101" s="56">
        <f t="shared" si="10"/>
        <v>0</v>
      </c>
    </row>
    <row r="102" spans="2:28">
      <c r="B102" s="1" t="s">
        <v>36</v>
      </c>
      <c r="V102" s="54">
        <f t="shared" ref="V102:AB102" si="11">AVERAGE(V55,V59,V63,V67)</f>
        <v>0</v>
      </c>
      <c r="W102" s="55">
        <f t="shared" si="11"/>
        <v>0</v>
      </c>
      <c r="X102" s="55">
        <f t="shared" si="11"/>
        <v>0</v>
      </c>
      <c r="Y102" s="55">
        <f t="shared" si="11"/>
        <v>0</v>
      </c>
      <c r="Z102" s="54">
        <f t="shared" si="11"/>
        <v>0</v>
      </c>
      <c r="AA102" s="55">
        <f t="shared" si="11"/>
        <v>0</v>
      </c>
      <c r="AB102" s="56">
        <f t="shared" si="11"/>
        <v>0</v>
      </c>
    </row>
    <row r="103" spans="2:28">
      <c r="B103" s="1" t="s">
        <v>52</v>
      </c>
      <c r="V103" s="54">
        <f>AVERAGE(V71,V75,V79)</f>
        <v>0</v>
      </c>
      <c r="W103" s="55">
        <f t="shared" ref="W103:AB103" si="12">AVERAGE(W71,W75,W79)</f>
        <v>0</v>
      </c>
      <c r="X103" s="55">
        <f t="shared" si="12"/>
        <v>0</v>
      </c>
      <c r="Y103" s="56">
        <f t="shared" si="12"/>
        <v>0</v>
      </c>
      <c r="Z103" s="54">
        <f t="shared" si="12"/>
        <v>0</v>
      </c>
      <c r="AA103" s="55">
        <f t="shared" si="12"/>
        <v>0</v>
      </c>
      <c r="AB103" s="56">
        <f t="shared" si="12"/>
        <v>0</v>
      </c>
    </row>
    <row r="104" ht="12.15" spans="2:28">
      <c r="B104" s="1" t="s">
        <v>46</v>
      </c>
      <c r="V104" s="54">
        <f>AVERAGE(V83,V87,V91,V95)</f>
        <v>0</v>
      </c>
      <c r="W104" s="55">
        <f t="shared" ref="W104:AB104" si="13">AVERAGE(W83,W87,W91,W95)</f>
        <v>0</v>
      </c>
      <c r="X104" s="55">
        <f t="shared" si="13"/>
        <v>0</v>
      </c>
      <c r="Y104" s="56">
        <f t="shared" si="13"/>
        <v>0</v>
      </c>
      <c r="Z104" s="54">
        <f t="shared" si="13"/>
        <v>0</v>
      </c>
      <c r="AA104" s="55">
        <f t="shared" si="13"/>
        <v>0</v>
      </c>
      <c r="AB104" s="56">
        <f t="shared" si="13"/>
        <v>0</v>
      </c>
    </row>
    <row r="105" ht="12.15" spans="1:28">
      <c r="A105" s="4"/>
      <c r="B105" s="5" t="s">
        <v>53</v>
      </c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8">
        <f>AVERAGE(V3:V98)</f>
        <v>0</v>
      </c>
      <c r="W105" s="58">
        <f t="shared" ref="W105:AB105" si="14">AVERAGE(W3:W98)</f>
        <v>0</v>
      </c>
      <c r="X105" s="58">
        <f t="shared" si="14"/>
        <v>0</v>
      </c>
      <c r="Y105" s="58">
        <f t="shared" si="14"/>
        <v>0</v>
      </c>
      <c r="Z105" s="58">
        <f t="shared" si="14"/>
        <v>0</v>
      </c>
      <c r="AA105" s="58">
        <f t="shared" si="14"/>
        <v>0</v>
      </c>
      <c r="AB105" s="58">
        <f t="shared" si="14"/>
        <v>0</v>
      </c>
    </row>
    <row r="106" spans="2:20">
      <c r="B106" s="1" t="s">
        <v>54</v>
      </c>
      <c r="I106" s="57">
        <f>GEOMEAN(I3:I98)</f>
        <v>37.1177973701281</v>
      </c>
      <c r="J106" s="57"/>
      <c r="K106" s="57">
        <f>GEOMEAN(K3:K98)</f>
        <v>0.911716089409539</v>
      </c>
      <c r="R106" s="57">
        <f>GEOMEAN(R3:R98)</f>
        <v>39.7678989865365</v>
      </c>
      <c r="S106" s="57"/>
      <c r="T106" s="57">
        <f>GEOMEAN(T3:T98)</f>
        <v>0.928699729032981</v>
      </c>
    </row>
    <row r="107" spans="2:20">
      <c r="B107" s="1" t="s">
        <v>55</v>
      </c>
      <c r="R107" s="60">
        <f>R106/I106</f>
        <v>1.07139706028303</v>
      </c>
      <c r="S107" s="60"/>
      <c r="T107" s="60">
        <f>T106/K106</f>
        <v>1.01862821093181</v>
      </c>
    </row>
    <row r="108" spans="2:20">
      <c r="B108" s="1" t="s">
        <v>56</v>
      </c>
      <c r="I108" s="57"/>
      <c r="J108" s="57"/>
      <c r="K108" s="57">
        <f>SUM(K3:K98)</f>
        <v>134.341314444445</v>
      </c>
      <c r="R108" s="57">
        <f>SUM(R3:R98)/3600</f>
        <v>1.43623611111111</v>
      </c>
      <c r="S108" s="57"/>
      <c r="T108" s="57">
        <f>SUM(T3:T98)</f>
        <v>136.035279722222</v>
      </c>
    </row>
    <row r="109" spans="20:25">
      <c r="T109" s="1" t="s">
        <v>57</v>
      </c>
      <c r="V109" s="71">
        <f>AVERAGE(V3:V82)</f>
        <v>0</v>
      </c>
      <c r="W109" s="71">
        <f t="shared" ref="W109:Y109" si="15">AVERAGE(W3:W82)</f>
        <v>0</v>
      </c>
      <c r="X109" s="71">
        <f t="shared" si="15"/>
        <v>0</v>
      </c>
      <c r="Y109" s="71">
        <f t="shared" si="15"/>
        <v>0</v>
      </c>
    </row>
  </sheetData>
  <mergeCells count="4">
    <mergeCell ref="D1:K1"/>
    <mergeCell ref="M1:T1"/>
    <mergeCell ref="V1:X1"/>
    <mergeCell ref="Z1:AB1"/>
  </mergeCells>
  <conditionalFormatting sqref="V3">
    <cfRule type="cellIs" dxfId="0" priority="35" operator="greaterThan">
      <formula>0.03</formula>
    </cfRule>
    <cfRule type="cellIs" dxfId="1" priority="36" stopIfTrue="1" operator="lessThan">
      <formula>-0.03</formula>
    </cfRule>
  </conditionalFormatting>
  <conditionalFormatting sqref="Z3">
    <cfRule type="cellIs" dxfId="0" priority="173" operator="greaterThan">
      <formula>0.03</formula>
    </cfRule>
    <cfRule type="cellIs" dxfId="1" priority="174" stopIfTrue="1" operator="lessThan">
      <formula>-0.03</formula>
    </cfRule>
  </conditionalFormatting>
  <conditionalFormatting sqref="AA3">
    <cfRule type="cellIs" dxfId="0" priority="171" operator="greaterThan">
      <formula>0.03</formula>
    </cfRule>
    <cfRule type="cellIs" dxfId="1" priority="172" stopIfTrue="1" operator="lessThan">
      <formula>-0.03</formula>
    </cfRule>
  </conditionalFormatting>
  <conditionalFormatting sqref="AB3">
    <cfRule type="cellIs" dxfId="0" priority="169" operator="greaterThan">
      <formula>0.03</formula>
    </cfRule>
    <cfRule type="cellIs" dxfId="1" priority="170" stopIfTrue="1" operator="lessThan">
      <formula>-0.03</formula>
    </cfRule>
  </conditionalFormatting>
  <conditionalFormatting sqref="Z6:AA6">
    <cfRule type="cellIs" dxfId="0" priority="69" operator="greaterThan">
      <formula>0.03</formula>
    </cfRule>
    <cfRule type="cellIs" dxfId="1" priority="70" stopIfTrue="1" operator="lessThan">
      <formula>-0.03</formula>
    </cfRule>
  </conditionalFormatting>
  <conditionalFormatting sqref="Z7">
    <cfRule type="cellIs" dxfId="0" priority="167" operator="greaterThan">
      <formula>0.03</formula>
    </cfRule>
    <cfRule type="cellIs" dxfId="1" priority="168" stopIfTrue="1" operator="lessThan">
      <formula>-0.03</formula>
    </cfRule>
  </conditionalFormatting>
  <conditionalFormatting sqref="AA7">
    <cfRule type="cellIs" dxfId="0" priority="165" operator="greaterThan">
      <formula>0.03</formula>
    </cfRule>
    <cfRule type="cellIs" dxfId="1" priority="166" stopIfTrue="1" operator="lessThan">
      <formula>-0.03</formula>
    </cfRule>
  </conditionalFormatting>
  <conditionalFormatting sqref="AB7">
    <cfRule type="cellIs" dxfId="0" priority="163" operator="greaterThan">
      <formula>0.03</formula>
    </cfRule>
    <cfRule type="cellIs" dxfId="1" priority="164" stopIfTrue="1" operator="lessThan">
      <formula>-0.03</formula>
    </cfRule>
  </conditionalFormatting>
  <conditionalFormatting sqref="Z10:AA10">
    <cfRule type="cellIs" dxfId="0" priority="67" operator="greaterThan">
      <formula>0.03</formula>
    </cfRule>
    <cfRule type="cellIs" dxfId="1" priority="68" stopIfTrue="1" operator="lessThan">
      <formula>-0.03</formula>
    </cfRule>
  </conditionalFormatting>
  <conditionalFormatting sqref="Z11">
    <cfRule type="cellIs" dxfId="0" priority="161" operator="greaterThan">
      <formula>0.03</formula>
    </cfRule>
    <cfRule type="cellIs" dxfId="1" priority="162" stopIfTrue="1" operator="lessThan">
      <formula>-0.03</formula>
    </cfRule>
  </conditionalFormatting>
  <conditionalFormatting sqref="AA11">
    <cfRule type="cellIs" dxfId="0" priority="159" operator="greaterThan">
      <formula>0.03</formula>
    </cfRule>
    <cfRule type="cellIs" dxfId="1" priority="160" stopIfTrue="1" operator="lessThan">
      <formula>-0.03</formula>
    </cfRule>
  </conditionalFormatting>
  <conditionalFormatting sqref="AB11">
    <cfRule type="cellIs" dxfId="0" priority="157" operator="greaterThan">
      <formula>0.03</formula>
    </cfRule>
    <cfRule type="cellIs" dxfId="1" priority="158" stopIfTrue="1" operator="lessThan">
      <formula>-0.03</formula>
    </cfRule>
  </conditionalFormatting>
  <conditionalFormatting sqref="Z14:AA14">
    <cfRule type="cellIs" dxfId="0" priority="65" operator="greaterThan">
      <formula>0.03</formula>
    </cfRule>
    <cfRule type="cellIs" dxfId="1" priority="66" stopIfTrue="1" operator="lessThan">
      <formula>-0.03</formula>
    </cfRule>
  </conditionalFormatting>
  <conditionalFormatting sqref="Z15">
    <cfRule type="cellIs" dxfId="0" priority="155" operator="greaterThan">
      <formula>0.03</formula>
    </cfRule>
    <cfRule type="cellIs" dxfId="1" priority="156" stopIfTrue="1" operator="lessThan">
      <formula>-0.03</formula>
    </cfRule>
  </conditionalFormatting>
  <conditionalFormatting sqref="AA15">
    <cfRule type="cellIs" dxfId="0" priority="153" operator="greaterThan">
      <formula>0.03</formula>
    </cfRule>
    <cfRule type="cellIs" dxfId="1" priority="154" stopIfTrue="1" operator="lessThan">
      <formula>-0.03</formula>
    </cfRule>
  </conditionalFormatting>
  <conditionalFormatting sqref="AB15">
    <cfRule type="cellIs" dxfId="0" priority="151" operator="greaterThan">
      <formula>0.03</formula>
    </cfRule>
    <cfRule type="cellIs" dxfId="1" priority="152" stopIfTrue="1" operator="lessThan">
      <formula>-0.03</formula>
    </cfRule>
  </conditionalFormatting>
  <conditionalFormatting sqref="Z18:AA18">
    <cfRule type="cellIs" dxfId="0" priority="63" operator="greaterThan">
      <formula>0.03</formula>
    </cfRule>
    <cfRule type="cellIs" dxfId="1" priority="64" stopIfTrue="1" operator="lessThan">
      <formula>-0.03</formula>
    </cfRule>
  </conditionalFormatting>
  <conditionalFormatting sqref="Z19">
    <cfRule type="cellIs" dxfId="0" priority="149" operator="greaterThan">
      <formula>0.03</formula>
    </cfRule>
    <cfRule type="cellIs" dxfId="1" priority="150" stopIfTrue="1" operator="lessThan">
      <formula>-0.03</formula>
    </cfRule>
  </conditionalFormatting>
  <conditionalFormatting sqref="AA19">
    <cfRule type="cellIs" dxfId="0" priority="147" operator="greaterThan">
      <formula>0.03</formula>
    </cfRule>
    <cfRule type="cellIs" dxfId="1" priority="148" stopIfTrue="1" operator="lessThan">
      <formula>-0.03</formula>
    </cfRule>
  </conditionalFormatting>
  <conditionalFormatting sqref="AB19">
    <cfRule type="cellIs" dxfId="0" priority="145" operator="greaterThan">
      <formula>0.03</formula>
    </cfRule>
    <cfRule type="cellIs" dxfId="1" priority="146" stopIfTrue="1" operator="lessThan">
      <formula>-0.03</formula>
    </cfRule>
  </conditionalFormatting>
  <conditionalFormatting sqref="Z22:AA22">
    <cfRule type="cellIs" dxfId="0" priority="61" operator="greaterThan">
      <formula>0.03</formula>
    </cfRule>
    <cfRule type="cellIs" dxfId="1" priority="62" stopIfTrue="1" operator="lessThan">
      <formula>-0.03</formula>
    </cfRule>
  </conditionalFormatting>
  <conditionalFormatting sqref="Z23">
    <cfRule type="cellIs" dxfId="0" priority="143" operator="greaterThan">
      <formula>0.03</formula>
    </cfRule>
    <cfRule type="cellIs" dxfId="1" priority="144" stopIfTrue="1" operator="lessThan">
      <formula>-0.03</formula>
    </cfRule>
  </conditionalFormatting>
  <conditionalFormatting sqref="AA23">
    <cfRule type="cellIs" dxfId="0" priority="141" operator="greaterThan">
      <formula>0.03</formula>
    </cfRule>
    <cfRule type="cellIs" dxfId="1" priority="142" stopIfTrue="1" operator="lessThan">
      <formula>-0.03</formula>
    </cfRule>
  </conditionalFormatting>
  <conditionalFormatting sqref="AB23">
    <cfRule type="cellIs" dxfId="0" priority="139" operator="greaterThan">
      <formula>0.03</formula>
    </cfRule>
    <cfRule type="cellIs" dxfId="1" priority="140" stopIfTrue="1" operator="lessThan">
      <formula>-0.03</formula>
    </cfRule>
  </conditionalFormatting>
  <conditionalFormatting sqref="Z26:AA26">
    <cfRule type="cellIs" dxfId="0" priority="59" operator="greaterThan">
      <formula>0.03</formula>
    </cfRule>
    <cfRule type="cellIs" dxfId="1" priority="60" stopIfTrue="1" operator="lessThan">
      <formula>-0.03</formula>
    </cfRule>
  </conditionalFormatting>
  <conditionalFormatting sqref="Z27">
    <cfRule type="cellIs" dxfId="0" priority="137" operator="greaterThan">
      <formula>0.03</formula>
    </cfRule>
    <cfRule type="cellIs" dxfId="1" priority="138" stopIfTrue="1" operator="lessThan">
      <formula>-0.03</formula>
    </cfRule>
  </conditionalFormatting>
  <conditionalFormatting sqref="AA27">
    <cfRule type="cellIs" dxfId="0" priority="135" operator="greaterThan">
      <formula>0.03</formula>
    </cfRule>
    <cfRule type="cellIs" dxfId="1" priority="136" stopIfTrue="1" operator="lessThan">
      <formula>-0.03</formula>
    </cfRule>
  </conditionalFormatting>
  <conditionalFormatting sqref="AB27">
    <cfRule type="cellIs" dxfId="0" priority="133" operator="greaterThan">
      <formula>0.03</formula>
    </cfRule>
    <cfRule type="cellIs" dxfId="1" priority="134" stopIfTrue="1" operator="lessThan">
      <formula>-0.03</formula>
    </cfRule>
  </conditionalFormatting>
  <conditionalFormatting sqref="Z30:AA30">
    <cfRule type="cellIs" dxfId="0" priority="57" operator="greaterThan">
      <formula>0.03</formula>
    </cfRule>
    <cfRule type="cellIs" dxfId="1" priority="58" stopIfTrue="1" operator="lessThan">
      <formula>-0.03</formula>
    </cfRule>
  </conditionalFormatting>
  <conditionalFormatting sqref="Z31">
    <cfRule type="cellIs" dxfId="0" priority="131" operator="greaterThan">
      <formula>0.03</formula>
    </cfRule>
    <cfRule type="cellIs" dxfId="1" priority="132" stopIfTrue="1" operator="lessThan">
      <formula>-0.03</formula>
    </cfRule>
  </conditionalFormatting>
  <conditionalFormatting sqref="AA31">
    <cfRule type="cellIs" dxfId="0" priority="129" operator="greaterThan">
      <formula>0.03</formula>
    </cfRule>
    <cfRule type="cellIs" dxfId="1" priority="130" stopIfTrue="1" operator="lessThan">
      <formula>-0.03</formula>
    </cfRule>
  </conditionalFormatting>
  <conditionalFormatting sqref="AB31">
    <cfRule type="cellIs" dxfId="0" priority="127" operator="greaterThan">
      <formula>0.03</formula>
    </cfRule>
    <cfRule type="cellIs" dxfId="1" priority="128" stopIfTrue="1" operator="lessThan">
      <formula>-0.03</formula>
    </cfRule>
  </conditionalFormatting>
  <conditionalFormatting sqref="Z34:AA34">
    <cfRule type="cellIs" dxfId="0" priority="55" operator="greaterThan">
      <formula>0.03</formula>
    </cfRule>
    <cfRule type="cellIs" dxfId="1" priority="56" stopIfTrue="1" operator="lessThan">
      <formula>-0.03</formula>
    </cfRule>
  </conditionalFormatting>
  <conditionalFormatting sqref="Z35">
    <cfRule type="cellIs" dxfId="0" priority="125" operator="greaterThan">
      <formula>0.03</formula>
    </cfRule>
    <cfRule type="cellIs" dxfId="1" priority="126" stopIfTrue="1" operator="lessThan">
      <formula>-0.03</formula>
    </cfRule>
  </conditionalFormatting>
  <conditionalFormatting sqref="AA35">
    <cfRule type="cellIs" dxfId="0" priority="123" operator="greaterThan">
      <formula>0.03</formula>
    </cfRule>
    <cfRule type="cellIs" dxfId="1" priority="124" stopIfTrue="1" operator="lessThan">
      <formula>-0.03</formula>
    </cfRule>
  </conditionalFormatting>
  <conditionalFormatting sqref="AB35">
    <cfRule type="cellIs" dxfId="0" priority="121" operator="greaterThan">
      <formula>0.03</formula>
    </cfRule>
    <cfRule type="cellIs" dxfId="1" priority="122" stopIfTrue="1" operator="lessThan">
      <formula>-0.03</formula>
    </cfRule>
  </conditionalFormatting>
  <conditionalFormatting sqref="Z38:AA38">
    <cfRule type="cellIs" dxfId="0" priority="53" operator="greaterThan">
      <formula>0.03</formula>
    </cfRule>
    <cfRule type="cellIs" dxfId="1" priority="54" stopIfTrue="1" operator="lessThan">
      <formula>-0.03</formula>
    </cfRule>
  </conditionalFormatting>
  <conditionalFormatting sqref="Z39">
    <cfRule type="cellIs" dxfId="0" priority="119" operator="greaterThan">
      <formula>0.03</formula>
    </cfRule>
    <cfRule type="cellIs" dxfId="1" priority="120" stopIfTrue="1" operator="lessThan">
      <formula>-0.03</formula>
    </cfRule>
  </conditionalFormatting>
  <conditionalFormatting sqref="AA39">
    <cfRule type="cellIs" dxfId="0" priority="117" operator="greaterThan">
      <formula>0.03</formula>
    </cfRule>
    <cfRule type="cellIs" dxfId="1" priority="118" stopIfTrue="1" operator="lessThan">
      <formula>-0.03</formula>
    </cfRule>
  </conditionalFormatting>
  <conditionalFormatting sqref="AB39">
    <cfRule type="cellIs" dxfId="0" priority="115" operator="greaterThan">
      <formula>0.03</formula>
    </cfRule>
    <cfRule type="cellIs" dxfId="1" priority="116" stopIfTrue="1" operator="lessThan">
      <formula>-0.03</formula>
    </cfRule>
  </conditionalFormatting>
  <conditionalFormatting sqref="Z42:AA42">
    <cfRule type="cellIs" dxfId="0" priority="51" operator="greaterThan">
      <formula>0.03</formula>
    </cfRule>
    <cfRule type="cellIs" dxfId="1" priority="52" stopIfTrue="1" operator="lessThan">
      <formula>-0.03</formula>
    </cfRule>
  </conditionalFormatting>
  <conditionalFormatting sqref="Z43">
    <cfRule type="cellIs" dxfId="0" priority="113" operator="greaterThan">
      <formula>0.03</formula>
    </cfRule>
    <cfRule type="cellIs" dxfId="1" priority="114" stopIfTrue="1" operator="lessThan">
      <formula>-0.03</formula>
    </cfRule>
  </conditionalFormatting>
  <conditionalFormatting sqref="AA43">
    <cfRule type="cellIs" dxfId="0" priority="111" operator="greaterThan">
      <formula>0.03</formula>
    </cfRule>
    <cfRule type="cellIs" dxfId="1" priority="112" stopIfTrue="1" operator="lessThan">
      <formula>-0.03</formula>
    </cfRule>
  </conditionalFormatting>
  <conditionalFormatting sqref="AB43">
    <cfRule type="cellIs" dxfId="0" priority="109" operator="greaterThan">
      <formula>0.03</formula>
    </cfRule>
    <cfRule type="cellIs" dxfId="1" priority="110" stopIfTrue="1" operator="lessThan">
      <formula>-0.03</formula>
    </cfRule>
  </conditionalFormatting>
  <conditionalFormatting sqref="Z46:AA46">
    <cfRule type="cellIs" dxfId="0" priority="49" operator="greaterThan">
      <formula>0.03</formula>
    </cfRule>
    <cfRule type="cellIs" dxfId="1" priority="50" stopIfTrue="1" operator="lessThan">
      <formula>-0.03</formula>
    </cfRule>
  </conditionalFormatting>
  <conditionalFormatting sqref="Z47">
    <cfRule type="cellIs" dxfId="0" priority="107" operator="greaterThan">
      <formula>0.03</formula>
    </cfRule>
    <cfRule type="cellIs" dxfId="1" priority="108" stopIfTrue="1" operator="lessThan">
      <formula>-0.03</formula>
    </cfRule>
  </conditionalFormatting>
  <conditionalFormatting sqref="AA47">
    <cfRule type="cellIs" dxfId="0" priority="105" operator="greaterThan">
      <formula>0.03</formula>
    </cfRule>
    <cfRule type="cellIs" dxfId="1" priority="106" stopIfTrue="1" operator="lessThan">
      <formula>-0.03</formula>
    </cfRule>
  </conditionalFormatting>
  <conditionalFormatting sqref="AB47">
    <cfRule type="cellIs" dxfId="0" priority="103" operator="greaterThan">
      <formula>0.03</formula>
    </cfRule>
    <cfRule type="cellIs" dxfId="1" priority="104" stopIfTrue="1" operator="lessThan">
      <formula>-0.03</formula>
    </cfRule>
  </conditionalFormatting>
  <conditionalFormatting sqref="Z50:AA50">
    <cfRule type="cellIs" dxfId="0" priority="47" operator="greaterThan">
      <formula>0.03</formula>
    </cfRule>
    <cfRule type="cellIs" dxfId="1" priority="48" stopIfTrue="1" operator="lessThan">
      <formula>-0.03</formula>
    </cfRule>
  </conditionalFormatting>
  <conditionalFormatting sqref="Z51">
    <cfRule type="cellIs" dxfId="0" priority="101" operator="greaterThan">
      <formula>0.03</formula>
    </cfRule>
    <cfRule type="cellIs" dxfId="1" priority="102" stopIfTrue="1" operator="lessThan">
      <formula>-0.03</formula>
    </cfRule>
  </conditionalFormatting>
  <conditionalFormatting sqref="AA51">
    <cfRule type="cellIs" dxfId="0" priority="99" operator="greaterThan">
      <formula>0.03</formula>
    </cfRule>
    <cfRule type="cellIs" dxfId="1" priority="100" stopIfTrue="1" operator="lessThan">
      <formula>-0.03</formula>
    </cfRule>
  </conditionalFormatting>
  <conditionalFormatting sqref="AB51">
    <cfRule type="cellIs" dxfId="0" priority="97" operator="greaterThan">
      <formula>0.03</formula>
    </cfRule>
    <cfRule type="cellIs" dxfId="1" priority="98" stopIfTrue="1" operator="lessThan">
      <formula>-0.03</formula>
    </cfRule>
  </conditionalFormatting>
  <conditionalFormatting sqref="Z54:AA54">
    <cfRule type="cellIs" dxfId="0" priority="45" operator="greaterThan">
      <formula>0.03</formula>
    </cfRule>
    <cfRule type="cellIs" dxfId="1" priority="46" stopIfTrue="1" operator="lessThan">
      <formula>-0.03</formula>
    </cfRule>
  </conditionalFormatting>
  <conditionalFormatting sqref="Z55">
    <cfRule type="cellIs" dxfId="0" priority="95" operator="greaterThan">
      <formula>0.03</formula>
    </cfRule>
    <cfRule type="cellIs" dxfId="1" priority="96" stopIfTrue="1" operator="lessThan">
      <formula>-0.03</formula>
    </cfRule>
  </conditionalFormatting>
  <conditionalFormatting sqref="AA55">
    <cfRule type="cellIs" dxfId="0" priority="93" operator="greaterThan">
      <formula>0.03</formula>
    </cfRule>
    <cfRule type="cellIs" dxfId="1" priority="94" stopIfTrue="1" operator="lessThan">
      <formula>-0.03</formula>
    </cfRule>
  </conditionalFormatting>
  <conditionalFormatting sqref="AB55">
    <cfRule type="cellIs" dxfId="0" priority="91" operator="greaterThan">
      <formula>0.03</formula>
    </cfRule>
    <cfRule type="cellIs" dxfId="1" priority="92" stopIfTrue="1" operator="lessThan">
      <formula>-0.03</formula>
    </cfRule>
  </conditionalFormatting>
  <conditionalFormatting sqref="Z58:AA58">
    <cfRule type="cellIs" dxfId="0" priority="43" operator="greaterThan">
      <formula>0.03</formula>
    </cfRule>
    <cfRule type="cellIs" dxfId="1" priority="44" stopIfTrue="1" operator="lessThan">
      <formula>-0.03</formula>
    </cfRule>
  </conditionalFormatting>
  <conditionalFormatting sqref="Z59">
    <cfRule type="cellIs" dxfId="0" priority="89" operator="greaterThan">
      <formula>0.03</formula>
    </cfRule>
    <cfRule type="cellIs" dxfId="1" priority="90" stopIfTrue="1" operator="lessThan">
      <formula>-0.03</formula>
    </cfRule>
  </conditionalFormatting>
  <conditionalFormatting sqref="AA59">
    <cfRule type="cellIs" dxfId="0" priority="87" operator="greaterThan">
      <formula>0.03</formula>
    </cfRule>
    <cfRule type="cellIs" dxfId="1" priority="88" stopIfTrue="1" operator="lessThan">
      <formula>-0.03</formula>
    </cfRule>
  </conditionalFormatting>
  <conditionalFormatting sqref="AB59">
    <cfRule type="cellIs" dxfId="0" priority="85" operator="greaterThan">
      <formula>0.03</formula>
    </cfRule>
    <cfRule type="cellIs" dxfId="1" priority="86" stopIfTrue="1" operator="lessThan">
      <formula>-0.03</formula>
    </cfRule>
  </conditionalFormatting>
  <conditionalFormatting sqref="Z62:AA62">
    <cfRule type="cellIs" dxfId="0" priority="41" operator="greaterThan">
      <formula>0.03</formula>
    </cfRule>
    <cfRule type="cellIs" dxfId="1" priority="42" stopIfTrue="1" operator="lessThan">
      <formula>-0.03</formula>
    </cfRule>
  </conditionalFormatting>
  <conditionalFormatting sqref="Z63">
    <cfRule type="cellIs" dxfId="0" priority="83" operator="greaterThan">
      <formula>0.03</formula>
    </cfRule>
    <cfRule type="cellIs" dxfId="1" priority="84" stopIfTrue="1" operator="lessThan">
      <formula>-0.03</formula>
    </cfRule>
  </conditionalFormatting>
  <conditionalFormatting sqref="AA63">
    <cfRule type="cellIs" dxfId="0" priority="81" operator="greaterThan">
      <formula>0.03</formula>
    </cfRule>
    <cfRule type="cellIs" dxfId="1" priority="82" stopIfTrue="1" operator="lessThan">
      <formula>-0.03</formula>
    </cfRule>
  </conditionalFormatting>
  <conditionalFormatting sqref="AB63">
    <cfRule type="cellIs" dxfId="0" priority="79" operator="greaterThan">
      <formula>0.03</formula>
    </cfRule>
    <cfRule type="cellIs" dxfId="1" priority="80" stopIfTrue="1" operator="lessThan">
      <formula>-0.03</formula>
    </cfRule>
  </conditionalFormatting>
  <conditionalFormatting sqref="Z66:AA66">
    <cfRule type="cellIs" dxfId="0" priority="39" operator="greaterThan">
      <formula>0.03</formula>
    </cfRule>
    <cfRule type="cellIs" dxfId="1" priority="40" stopIfTrue="1" operator="lessThan">
      <formula>-0.03</formula>
    </cfRule>
  </conditionalFormatting>
  <conditionalFormatting sqref="Z83">
    <cfRule type="cellIs" dxfId="0" priority="31" operator="greaterThan">
      <formula>0.03</formula>
    </cfRule>
    <cfRule type="cellIs" dxfId="1" priority="32" stopIfTrue="1" operator="lessThan">
      <formula>-0.03</formula>
    </cfRule>
  </conditionalFormatting>
  <conditionalFormatting sqref="AA83">
    <cfRule type="cellIs" dxfId="0" priority="29" operator="greaterThan">
      <formula>0.03</formula>
    </cfRule>
    <cfRule type="cellIs" dxfId="1" priority="30" stopIfTrue="1" operator="lessThan">
      <formula>-0.03</formula>
    </cfRule>
  </conditionalFormatting>
  <conditionalFormatting sqref="AB83">
    <cfRule type="cellIs" dxfId="0" priority="27" operator="greaterThan">
      <formula>0.03</formula>
    </cfRule>
    <cfRule type="cellIs" dxfId="1" priority="28" stopIfTrue="1" operator="lessThan">
      <formula>-0.03</formula>
    </cfRule>
  </conditionalFormatting>
  <conditionalFormatting sqref="Z86:AA86">
    <cfRule type="cellIs" dxfId="0" priority="7" operator="greaterThan">
      <formula>0.03</formula>
    </cfRule>
    <cfRule type="cellIs" dxfId="1" priority="8" stopIfTrue="1" operator="lessThan">
      <formula>-0.03</formula>
    </cfRule>
  </conditionalFormatting>
  <conditionalFormatting sqref="Z87">
    <cfRule type="cellIs" dxfId="0" priority="25" operator="greaterThan">
      <formula>0.03</formula>
    </cfRule>
    <cfRule type="cellIs" dxfId="1" priority="26" stopIfTrue="1" operator="lessThan">
      <formula>-0.03</formula>
    </cfRule>
  </conditionalFormatting>
  <conditionalFormatting sqref="AA87">
    <cfRule type="cellIs" dxfId="0" priority="23" operator="greaterThan">
      <formula>0.03</formula>
    </cfRule>
    <cfRule type="cellIs" dxfId="1" priority="24" stopIfTrue="1" operator="lessThan">
      <formula>-0.03</formula>
    </cfRule>
  </conditionalFormatting>
  <conditionalFormatting sqref="AB87">
    <cfRule type="cellIs" dxfId="0" priority="21" operator="greaterThan">
      <formula>0.03</formula>
    </cfRule>
    <cfRule type="cellIs" dxfId="1" priority="22" stopIfTrue="1" operator="lessThan">
      <formula>-0.03</formula>
    </cfRule>
  </conditionalFormatting>
  <conditionalFormatting sqref="Z90:AA90">
    <cfRule type="cellIs" dxfId="0" priority="5" operator="greaterThan">
      <formula>0.03</formula>
    </cfRule>
    <cfRule type="cellIs" dxfId="1" priority="6" stopIfTrue="1" operator="lessThan">
      <formula>-0.03</formula>
    </cfRule>
  </conditionalFormatting>
  <conditionalFormatting sqref="Z91">
    <cfRule type="cellIs" dxfId="0" priority="19" operator="greaterThan">
      <formula>0.03</formula>
    </cfRule>
    <cfRule type="cellIs" dxfId="1" priority="20" stopIfTrue="1" operator="lessThan">
      <formula>-0.03</formula>
    </cfRule>
  </conditionalFormatting>
  <conditionalFormatting sqref="AA91">
    <cfRule type="cellIs" dxfId="0" priority="17" operator="greaterThan">
      <formula>0.03</formula>
    </cfRule>
    <cfRule type="cellIs" dxfId="1" priority="18" stopIfTrue="1" operator="lessThan">
      <formula>-0.03</formula>
    </cfRule>
  </conditionalFormatting>
  <conditionalFormatting sqref="AB91">
    <cfRule type="cellIs" dxfId="0" priority="15" operator="greaterThan">
      <formula>0.03</formula>
    </cfRule>
    <cfRule type="cellIs" dxfId="1" priority="16" stopIfTrue="1" operator="lessThan">
      <formula>-0.03</formula>
    </cfRule>
  </conditionalFormatting>
  <conditionalFormatting sqref="Z94:AA94">
    <cfRule type="cellIs" dxfId="0" priority="3" operator="greaterThan">
      <formula>0.03</formula>
    </cfRule>
    <cfRule type="cellIs" dxfId="1" priority="4" stopIfTrue="1" operator="lessThan">
      <formula>-0.03</formula>
    </cfRule>
  </conditionalFormatting>
  <conditionalFormatting sqref="Z95">
    <cfRule type="cellIs" dxfId="0" priority="13" operator="greaterThan">
      <formula>0.03</formula>
    </cfRule>
    <cfRule type="cellIs" dxfId="1" priority="14" stopIfTrue="1" operator="lessThan">
      <formula>-0.03</formula>
    </cfRule>
  </conditionalFormatting>
  <conditionalFormatting sqref="AA95">
    <cfRule type="cellIs" dxfId="0" priority="11" operator="greaterThan">
      <formula>0.03</formula>
    </cfRule>
    <cfRule type="cellIs" dxfId="1" priority="12" stopIfTrue="1" operator="lessThan">
      <formula>-0.03</formula>
    </cfRule>
  </conditionalFormatting>
  <conditionalFormatting sqref="AB95">
    <cfRule type="cellIs" dxfId="0" priority="9" operator="greaterThan">
      <formula>0.03</formula>
    </cfRule>
    <cfRule type="cellIs" dxfId="1" priority="10" stopIfTrue="1" operator="lessThan">
      <formula>-0.03</formula>
    </cfRule>
  </conditionalFormatting>
  <conditionalFormatting sqref="Z98:AA98">
    <cfRule type="cellIs" dxfId="0" priority="1" operator="greaterThan">
      <formula>0.03</formula>
    </cfRule>
    <cfRule type="cellIs" dxfId="1" priority="2" stopIfTrue="1" operator="lessThan">
      <formula>-0.03</formula>
    </cfRule>
  </conditionalFormatting>
  <conditionalFormatting sqref="W3:Y3 V4:Y82 V100:Y103 V99:AB99 V104:AB105">
    <cfRule type="cellIs" dxfId="0" priority="175" operator="greaterThan">
      <formula>0.03</formula>
    </cfRule>
    <cfRule type="cellIs" dxfId="1" priority="176" stopIfTrue="1" operator="lessThan">
      <formula>-0.03</formula>
    </cfRule>
  </conditionalFormatting>
  <conditionalFormatting sqref="Z67 Z71 Z75 Z79">
    <cfRule type="cellIs" dxfId="0" priority="77" operator="greaterThan">
      <formula>0.03</formula>
    </cfRule>
    <cfRule type="cellIs" dxfId="1" priority="78" stopIfTrue="1" operator="lessThan">
      <formula>-0.03</formula>
    </cfRule>
  </conditionalFormatting>
  <conditionalFormatting sqref="AA67 AA71 AA75 AA79">
    <cfRule type="cellIs" dxfId="0" priority="75" operator="greaterThan">
      <formula>0.03</formula>
    </cfRule>
    <cfRule type="cellIs" dxfId="1" priority="76" stopIfTrue="1" operator="lessThan">
      <formula>-0.03</formula>
    </cfRule>
  </conditionalFormatting>
  <conditionalFormatting sqref="AB67 AB71 AB75 AB79">
    <cfRule type="cellIs" dxfId="0" priority="73" operator="greaterThan">
      <formula>0.03</formula>
    </cfRule>
    <cfRule type="cellIs" dxfId="1" priority="74" stopIfTrue="1" operator="lessThan">
      <formula>-0.03</formula>
    </cfRule>
  </conditionalFormatting>
  <conditionalFormatting sqref="Z70:AA70 Z74:AA74 Z78:AA78 Z82:AA82">
    <cfRule type="cellIs" dxfId="0" priority="37" operator="greaterThan">
      <formula>0.03</formula>
    </cfRule>
    <cfRule type="cellIs" dxfId="1" priority="38" stopIfTrue="1" operator="lessThan">
      <formula>-0.03</formula>
    </cfRule>
  </conditionalFormatting>
  <conditionalFormatting sqref="V83:Y98">
    <cfRule type="cellIs" dxfId="0" priority="33" operator="greaterThan">
      <formula>0.03</formula>
    </cfRule>
    <cfRule type="cellIs" dxfId="1" priority="34" stopIfTrue="1" operator="lessThan">
      <formula>-0.03</formula>
    </cfRule>
  </conditionalFormatting>
  <conditionalFormatting sqref="Z100:AB103">
    <cfRule type="cellIs" dxfId="0" priority="71" operator="greaterThan">
      <formula>0.03</formula>
    </cfRule>
    <cfRule type="cellIs" dxfId="1" priority="72" stopIfTrue="1" operator="lessThan">
      <formula>-0.03</formula>
    </cfRule>
  </conditionalFormatting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AB109"/>
  <sheetViews>
    <sheetView zoomScale="85" zoomScaleNormal="85" workbookViewId="0">
      <selection activeCell="C35" sqref="C35"/>
    </sheetView>
  </sheetViews>
  <sheetFormatPr defaultColWidth="10.875" defaultRowHeight="11.4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1" width="8.875" style="1" customWidth="1"/>
    <col min="12" max="12" width="2.875" style="1" customWidth="1"/>
    <col min="13" max="13" width="9.875" style="1" customWidth="1"/>
    <col min="14" max="16" width="6.875" style="1" customWidth="1"/>
    <col min="17" max="20" width="8.875" style="1" customWidth="1"/>
    <col min="21" max="21" width="2.875" style="1" customWidth="1"/>
    <col min="22" max="28" width="8.875" style="1" customWidth="1"/>
    <col min="29" max="16384" width="10.875" style="1"/>
  </cols>
  <sheetData>
    <row r="1" ht="12.75" spans="4:28">
      <c r="D1" s="2" t="s">
        <v>0</v>
      </c>
      <c r="E1" s="3"/>
      <c r="F1" s="3"/>
      <c r="G1" s="3"/>
      <c r="H1" s="3"/>
      <c r="I1" s="3"/>
      <c r="J1" s="3"/>
      <c r="K1" s="18"/>
      <c r="M1" s="2" t="s">
        <v>1</v>
      </c>
      <c r="N1" s="3"/>
      <c r="O1" s="3"/>
      <c r="P1" s="3"/>
      <c r="Q1" s="3"/>
      <c r="R1" s="3"/>
      <c r="S1" s="3"/>
      <c r="T1" s="18"/>
      <c r="U1" s="20"/>
      <c r="V1" s="2" t="s">
        <v>2</v>
      </c>
      <c r="W1" s="3"/>
      <c r="X1" s="18"/>
      <c r="Y1" s="3"/>
      <c r="Z1" s="2" t="s">
        <v>3</v>
      </c>
      <c r="AA1" s="3"/>
      <c r="AB1" s="18"/>
    </row>
    <row r="2" ht="12.15" spans="1:28">
      <c r="A2" s="4"/>
      <c r="B2" s="5"/>
      <c r="C2" s="6" t="s">
        <v>4</v>
      </c>
      <c r="D2" s="7" t="s">
        <v>5</v>
      </c>
      <c r="E2" s="8" t="s">
        <v>6</v>
      </c>
      <c r="F2" s="8" t="s">
        <v>7</v>
      </c>
      <c r="G2" s="8" t="s">
        <v>8</v>
      </c>
      <c r="H2" s="8" t="s">
        <v>9</v>
      </c>
      <c r="I2" s="8" t="s">
        <v>10</v>
      </c>
      <c r="J2" s="8" t="s">
        <v>11</v>
      </c>
      <c r="K2" s="19" t="s">
        <v>12</v>
      </c>
      <c r="L2" s="20"/>
      <c r="M2" s="7" t="s">
        <v>5</v>
      </c>
      <c r="N2" s="8" t="s">
        <v>6</v>
      </c>
      <c r="O2" s="8" t="s">
        <v>7</v>
      </c>
      <c r="P2" s="8" t="s">
        <v>8</v>
      </c>
      <c r="Q2" s="8" t="s">
        <v>9</v>
      </c>
      <c r="R2" s="8" t="s">
        <v>10</v>
      </c>
      <c r="S2" s="8" t="s">
        <v>11</v>
      </c>
      <c r="T2" s="19" t="s">
        <v>12</v>
      </c>
      <c r="U2" s="36"/>
      <c r="V2" s="7" t="s">
        <v>13</v>
      </c>
      <c r="W2" s="8" t="s">
        <v>14</v>
      </c>
      <c r="X2" s="19" t="s">
        <v>15</v>
      </c>
      <c r="Y2" s="51" t="s">
        <v>16</v>
      </c>
      <c r="Z2" s="52" t="s">
        <v>13</v>
      </c>
      <c r="AA2" s="51" t="s">
        <v>14</v>
      </c>
      <c r="AB2" s="53" t="s">
        <v>15</v>
      </c>
    </row>
    <row r="3" spans="1:28">
      <c r="A3" s="9" t="s">
        <v>17</v>
      </c>
      <c r="B3" s="9" t="s">
        <v>18</v>
      </c>
      <c r="C3" s="9">
        <v>22</v>
      </c>
      <c r="D3" s="72">
        <v>14890.25</v>
      </c>
      <c r="E3" s="73">
        <v>40.984</v>
      </c>
      <c r="F3" s="73">
        <v>41.158</v>
      </c>
      <c r="G3" s="73">
        <v>43.609</v>
      </c>
      <c r="H3" s="73">
        <v>12496.671</v>
      </c>
      <c r="I3" s="73">
        <v>60.261</v>
      </c>
      <c r="J3" s="11">
        <f>(6*E3+F3+G3)/8</f>
        <v>41.333875</v>
      </c>
      <c r="K3" s="21">
        <f>H3/3600</f>
        <v>3.4712975</v>
      </c>
      <c r="M3" s="78">
        <v>14890.19</v>
      </c>
      <c r="N3" s="79">
        <v>40.984</v>
      </c>
      <c r="O3" s="79">
        <v>41.158</v>
      </c>
      <c r="P3" s="79">
        <v>43.609</v>
      </c>
      <c r="Q3" s="79">
        <v>12738.208</v>
      </c>
      <c r="R3" s="79">
        <v>55.637</v>
      </c>
      <c r="S3" s="23">
        <f>(6*N3+O3+P3)/8</f>
        <v>41.333875</v>
      </c>
      <c r="T3" s="37">
        <f>Q3/3600</f>
        <v>3.53839111111111</v>
      </c>
      <c r="U3" s="38"/>
      <c r="V3" s="39">
        <f>bdrate($D3:$D6,E3:E6,$M3:$M6,N3:N6)</f>
        <v>-7.12045495940838e-5</v>
      </c>
      <c r="W3" s="40">
        <f>bdrate($D3:$D6,F3:F6,$M3:$M6,O3:O6)</f>
        <v>1.35232297915344e-5</v>
      </c>
      <c r="X3" s="41">
        <f>bdrate($D3:$D6,G3:G6,$M3:$M6,P3:P6)</f>
        <v>1.32867770439304e-5</v>
      </c>
      <c r="Y3" s="40">
        <f>bdrate(D3:D6,J3:J6,M3:M6,S3:S6)</f>
        <v>-5.74490739796429e-5</v>
      </c>
      <c r="Z3" s="39">
        <f>bdrateOld($D3:$D6,E3:E6,$M3:$M6,N3:N6)</f>
        <v>-7.03435964345411e-5</v>
      </c>
      <c r="AA3" s="40">
        <f>bdrateOld($D3:$D6,F3:F6,$M3:$M6,O3:O6)</f>
        <v>1.04576678350288e-5</v>
      </c>
      <c r="AB3" s="41">
        <f>bdrateOld($D3:$D6,G3:G6,$M3:$M6,P3:P6)</f>
        <v>9.93468297405542e-6</v>
      </c>
    </row>
    <row r="4" spans="1:28">
      <c r="A4" s="12" t="s">
        <v>19</v>
      </c>
      <c r="B4" s="12"/>
      <c r="C4" s="12">
        <v>27</v>
      </c>
      <c r="D4" s="74">
        <v>6429.5</v>
      </c>
      <c r="E4" s="75">
        <v>38.343</v>
      </c>
      <c r="F4" s="75">
        <v>39.386</v>
      </c>
      <c r="G4" s="75">
        <v>41.756</v>
      </c>
      <c r="H4" s="75">
        <v>11777.717</v>
      </c>
      <c r="I4" s="75">
        <v>72.981</v>
      </c>
      <c r="J4" s="14">
        <f t="shared" ref="J4:J67" si="0">(6*E4+F4+G4)/8</f>
        <v>38.9</v>
      </c>
      <c r="K4" s="24">
        <f>H4/3600</f>
        <v>3.27158805555556</v>
      </c>
      <c r="M4" s="80">
        <v>6429.5</v>
      </c>
      <c r="N4" s="81">
        <v>38.343</v>
      </c>
      <c r="O4" s="81">
        <v>39.386</v>
      </c>
      <c r="P4" s="81">
        <v>41.756</v>
      </c>
      <c r="Q4" s="81">
        <v>11850.355</v>
      </c>
      <c r="R4" s="81">
        <v>51.34</v>
      </c>
      <c r="S4" s="26">
        <f t="shared" ref="S4:S67" si="1">(6*N4+O4+P4)/8</f>
        <v>38.9</v>
      </c>
      <c r="T4" s="42">
        <f>Q4/3600</f>
        <v>3.29176527777778</v>
      </c>
      <c r="U4" s="38"/>
      <c r="V4" s="43"/>
      <c r="W4" s="44"/>
      <c r="X4" s="45"/>
      <c r="Y4" s="44"/>
      <c r="Z4" s="43"/>
      <c r="AA4" s="44"/>
      <c r="AB4" s="45"/>
    </row>
    <row r="5" spans="1:28">
      <c r="A5" s="12"/>
      <c r="B5" s="12"/>
      <c r="C5" s="12">
        <v>32</v>
      </c>
      <c r="D5" s="74">
        <v>3218.8</v>
      </c>
      <c r="E5" s="75">
        <v>35.594</v>
      </c>
      <c r="F5" s="75">
        <v>38.004</v>
      </c>
      <c r="G5" s="75">
        <v>40.333</v>
      </c>
      <c r="H5" s="75">
        <v>11125.805</v>
      </c>
      <c r="I5" s="75">
        <v>87.008</v>
      </c>
      <c r="J5" s="14">
        <f t="shared" si="0"/>
        <v>36.487625</v>
      </c>
      <c r="K5" s="24">
        <f>H5/3600</f>
        <v>3.09050138888889</v>
      </c>
      <c r="M5" s="80">
        <v>3218.95</v>
      </c>
      <c r="N5" s="81">
        <v>35.595</v>
      </c>
      <c r="O5" s="81">
        <v>38.004</v>
      </c>
      <c r="P5" s="81">
        <v>40.333</v>
      </c>
      <c r="Q5" s="81">
        <v>11220.216</v>
      </c>
      <c r="R5" s="81">
        <v>54.241</v>
      </c>
      <c r="S5" s="26">
        <f t="shared" si="1"/>
        <v>36.488375</v>
      </c>
      <c r="T5" s="42">
        <f>Q5/3600</f>
        <v>3.11672666666667</v>
      </c>
      <c r="U5" s="38"/>
      <c r="V5" s="43"/>
      <c r="W5" s="44"/>
      <c r="X5" s="45"/>
      <c r="Y5" s="44"/>
      <c r="Z5" s="43"/>
      <c r="AA5" s="44"/>
      <c r="AB5" s="45"/>
    </row>
    <row r="6" ht="12.15" spans="1:28">
      <c r="A6" s="12"/>
      <c r="B6" s="15"/>
      <c r="C6" s="15">
        <v>37</v>
      </c>
      <c r="D6" s="76">
        <v>1791.69</v>
      </c>
      <c r="E6" s="77">
        <v>32.876</v>
      </c>
      <c r="F6" s="77">
        <v>36.841</v>
      </c>
      <c r="G6" s="77">
        <v>39.151</v>
      </c>
      <c r="H6" s="77">
        <v>11116.162</v>
      </c>
      <c r="I6" s="77">
        <v>86.759</v>
      </c>
      <c r="J6" s="17">
        <f t="shared" si="0"/>
        <v>34.156</v>
      </c>
      <c r="K6" s="27">
        <f>H6/3600</f>
        <v>3.08782277777778</v>
      </c>
      <c r="M6" s="82">
        <v>1791.69</v>
      </c>
      <c r="N6" s="83">
        <v>32.876</v>
      </c>
      <c r="O6" s="83">
        <v>36.841</v>
      </c>
      <c r="P6" s="83">
        <v>39.151</v>
      </c>
      <c r="Q6" s="83">
        <v>11084.254</v>
      </c>
      <c r="R6" s="83">
        <v>48.955</v>
      </c>
      <c r="S6" s="29">
        <f t="shared" si="1"/>
        <v>34.156</v>
      </c>
      <c r="T6" s="46">
        <f>Q6/3600</f>
        <v>3.07895944444444</v>
      </c>
      <c r="U6" s="38"/>
      <c r="V6" s="47"/>
      <c r="W6" s="48"/>
      <c r="X6" s="49"/>
      <c r="Y6" s="48"/>
      <c r="Z6" s="47"/>
      <c r="AA6" s="48"/>
      <c r="AB6" s="49"/>
    </row>
    <row r="7" spans="1:28">
      <c r="A7" s="12"/>
      <c r="B7" s="9" t="s">
        <v>20</v>
      </c>
      <c r="C7" s="9">
        <v>22</v>
      </c>
      <c r="D7" s="72">
        <v>36955.9</v>
      </c>
      <c r="E7" s="73">
        <v>39.714</v>
      </c>
      <c r="F7" s="73">
        <v>44.531</v>
      </c>
      <c r="G7" s="73">
        <v>44.466</v>
      </c>
      <c r="H7" s="73">
        <v>15276.572</v>
      </c>
      <c r="I7" s="73">
        <v>79.632</v>
      </c>
      <c r="J7" s="11">
        <f t="shared" si="0"/>
        <v>40.910125</v>
      </c>
      <c r="K7" s="21">
        <f t="shared" ref="K7:K70" si="2">H7/3600</f>
        <v>4.24349222222222</v>
      </c>
      <c r="M7" s="78">
        <v>36955.9</v>
      </c>
      <c r="N7" s="79">
        <v>39.714</v>
      </c>
      <c r="O7" s="79">
        <v>44.531</v>
      </c>
      <c r="P7" s="79">
        <v>44.466</v>
      </c>
      <c r="Q7" s="79">
        <v>15685.061</v>
      </c>
      <c r="R7" s="79">
        <v>63.019</v>
      </c>
      <c r="S7" s="23">
        <f t="shared" si="1"/>
        <v>40.910125</v>
      </c>
      <c r="T7" s="37">
        <f t="shared" ref="T7:T70" si="3">Q7/3600</f>
        <v>4.35696138888889</v>
      </c>
      <c r="U7" s="38"/>
      <c r="V7" s="39">
        <f>bdrate($D7:$D10,E7:E10,$M7:$M10,N7:N10)</f>
        <v>0</v>
      </c>
      <c r="W7" s="40">
        <f>bdrate($D7:$D10,F7:F10,$M7:$M10,O7:O10)</f>
        <v>0</v>
      </c>
      <c r="X7" s="40">
        <f>bdrate($D7:$D10,G7:G10,$M7:$M10,P7:P10)</f>
        <v>0</v>
      </c>
      <c r="Y7" s="40">
        <f>bdrate(D7:D10,J7:J10,M7:M10,S7:S10)</f>
        <v>0</v>
      </c>
      <c r="Z7" s="54">
        <f>bdrateOld($D7:$D10,E7:E10,$M7:$M10,N7:N10)</f>
        <v>0</v>
      </c>
      <c r="AA7" s="55">
        <f>bdrateOld($D7:$D10,F7:F10,$M7:$M10,O7:O10)</f>
        <v>0</v>
      </c>
      <c r="AB7" s="56">
        <f>bdrateOld($D7:$D10,G7:G10,$M7:$M10,P7:P10)</f>
        <v>0</v>
      </c>
    </row>
    <row r="8" spans="1:28">
      <c r="A8" s="12"/>
      <c r="B8" s="12"/>
      <c r="C8" s="12">
        <v>27</v>
      </c>
      <c r="D8" s="74">
        <v>18123.44</v>
      </c>
      <c r="E8" s="75">
        <v>36.67</v>
      </c>
      <c r="F8" s="75">
        <v>42.815</v>
      </c>
      <c r="G8" s="75">
        <v>43.187</v>
      </c>
      <c r="H8" s="75">
        <v>14031.928</v>
      </c>
      <c r="I8" s="75">
        <v>68.24</v>
      </c>
      <c r="J8" s="14">
        <f t="shared" si="0"/>
        <v>38.25275</v>
      </c>
      <c r="K8" s="24">
        <f t="shared" si="2"/>
        <v>3.89775777777778</v>
      </c>
      <c r="M8" s="80">
        <v>18123.44</v>
      </c>
      <c r="N8" s="81">
        <v>36.67</v>
      </c>
      <c r="O8" s="81">
        <v>42.815</v>
      </c>
      <c r="P8" s="81">
        <v>43.187</v>
      </c>
      <c r="Q8" s="81">
        <v>14449.115</v>
      </c>
      <c r="R8" s="81">
        <v>55.991</v>
      </c>
      <c r="S8" s="26">
        <f t="shared" si="1"/>
        <v>38.25275</v>
      </c>
      <c r="T8" s="42">
        <f t="shared" si="3"/>
        <v>4.01364305555556</v>
      </c>
      <c r="U8" s="38"/>
      <c r="V8" s="43"/>
      <c r="W8" s="44"/>
      <c r="X8" s="44"/>
      <c r="Y8" s="44"/>
      <c r="Z8" s="43"/>
      <c r="AA8" s="44"/>
      <c r="AB8" s="45"/>
    </row>
    <row r="9" spans="1:28">
      <c r="A9" s="12"/>
      <c r="B9" s="12"/>
      <c r="C9" s="12">
        <v>32</v>
      </c>
      <c r="D9" s="74">
        <v>9684.74</v>
      </c>
      <c r="E9" s="75">
        <v>33.664</v>
      </c>
      <c r="F9" s="75">
        <v>41.388</v>
      </c>
      <c r="G9" s="75">
        <v>41.997</v>
      </c>
      <c r="H9" s="75">
        <v>13226.919</v>
      </c>
      <c r="I9" s="75">
        <v>90.718</v>
      </c>
      <c r="J9" s="14">
        <f t="shared" si="0"/>
        <v>35.671125</v>
      </c>
      <c r="K9" s="24">
        <f t="shared" si="2"/>
        <v>3.67414416666667</v>
      </c>
      <c r="M9" s="80">
        <v>9684.74</v>
      </c>
      <c r="N9" s="81">
        <v>33.664</v>
      </c>
      <c r="O9" s="81">
        <v>41.388</v>
      </c>
      <c r="P9" s="81">
        <v>41.997</v>
      </c>
      <c r="Q9" s="81">
        <v>13602.465</v>
      </c>
      <c r="R9" s="81">
        <v>52.403</v>
      </c>
      <c r="S9" s="26">
        <f t="shared" si="1"/>
        <v>35.671125</v>
      </c>
      <c r="T9" s="42">
        <f t="shared" si="3"/>
        <v>3.7784625</v>
      </c>
      <c r="U9" s="38"/>
      <c r="V9" s="43"/>
      <c r="W9" s="50"/>
      <c r="X9" s="44"/>
      <c r="Y9" s="44"/>
      <c r="Z9" s="43"/>
      <c r="AA9" s="44"/>
      <c r="AB9" s="45"/>
    </row>
    <row r="10" ht="12.15" spans="1:28">
      <c r="A10" s="12"/>
      <c r="B10" s="15"/>
      <c r="C10" s="15">
        <v>37</v>
      </c>
      <c r="D10" s="76">
        <v>5609.47</v>
      </c>
      <c r="E10" s="77">
        <v>30.809</v>
      </c>
      <c r="F10" s="77">
        <v>40.153</v>
      </c>
      <c r="G10" s="77">
        <v>40.842</v>
      </c>
      <c r="H10" s="77">
        <v>13114.689</v>
      </c>
      <c r="I10" s="77">
        <v>74.03</v>
      </c>
      <c r="J10" s="17">
        <f t="shared" si="0"/>
        <v>33.231125</v>
      </c>
      <c r="K10" s="27">
        <f t="shared" si="2"/>
        <v>3.64296916666667</v>
      </c>
      <c r="M10" s="82">
        <v>5609.47</v>
      </c>
      <c r="N10" s="83">
        <v>30.809</v>
      </c>
      <c r="O10" s="83">
        <v>40.153</v>
      </c>
      <c r="P10" s="83">
        <v>40.842</v>
      </c>
      <c r="Q10" s="83">
        <v>13094.844</v>
      </c>
      <c r="R10" s="83">
        <v>52.851</v>
      </c>
      <c r="S10" s="29">
        <f t="shared" si="1"/>
        <v>33.231125</v>
      </c>
      <c r="T10" s="46">
        <f t="shared" si="3"/>
        <v>3.63745666666667</v>
      </c>
      <c r="U10" s="38"/>
      <c r="V10" s="47"/>
      <c r="W10" s="48"/>
      <c r="X10" s="48"/>
      <c r="Y10" s="48"/>
      <c r="Z10" s="47"/>
      <c r="AA10" s="48"/>
      <c r="AB10" s="49"/>
    </row>
    <row r="11" spans="1:28">
      <c r="A11" s="12"/>
      <c r="B11" s="9" t="s">
        <v>21</v>
      </c>
      <c r="C11" s="9">
        <v>22</v>
      </c>
      <c r="D11" s="72">
        <v>261218.54</v>
      </c>
      <c r="E11" s="73">
        <v>38.259</v>
      </c>
      <c r="F11" s="73">
        <v>38.9</v>
      </c>
      <c r="G11" s="73">
        <v>37.486</v>
      </c>
      <c r="H11" s="73">
        <v>49074.864</v>
      </c>
      <c r="I11" s="73">
        <v>173.643</v>
      </c>
      <c r="J11" s="11">
        <f t="shared" si="0"/>
        <v>38.2425</v>
      </c>
      <c r="K11" s="21">
        <f t="shared" si="2"/>
        <v>13.6319066666667</v>
      </c>
      <c r="M11" s="78">
        <v>261218.54</v>
      </c>
      <c r="N11" s="79">
        <v>38.259</v>
      </c>
      <c r="O11" s="79">
        <v>38.9</v>
      </c>
      <c r="P11" s="79">
        <v>37.486</v>
      </c>
      <c r="Q11" s="79">
        <v>50774.512</v>
      </c>
      <c r="R11" s="79">
        <v>280.138</v>
      </c>
      <c r="S11" s="23">
        <f t="shared" si="1"/>
        <v>38.2425</v>
      </c>
      <c r="T11" s="37">
        <f t="shared" si="3"/>
        <v>14.1040311111111</v>
      </c>
      <c r="U11" s="38"/>
      <c r="V11" s="39">
        <f>bdrate($D11:$D14,E11:E14,$M11:$M14,N11:N14)</f>
        <v>-0.000102913036061358</v>
      </c>
      <c r="W11" s="40">
        <f>bdrate($D11:$D14,F11:F14,$M11:$M14,O11:O14)</f>
        <v>-2.71469400535684e-5</v>
      </c>
      <c r="X11" s="40">
        <f>bdrate($D11:$D14,G11:G14,$M11:$M14,P11:P14)</f>
        <v>-0.000450949753860175</v>
      </c>
      <c r="Y11" s="40">
        <f>bdrate(D11:D14,J11:J14,M11:M14,S11:S14)</f>
        <v>-0.00011268843671286</v>
      </c>
      <c r="Z11" s="54">
        <f>bdrateOld($D11:$D14,E11:E14,$M11:$M14,N11:N14)</f>
        <v>-0.00014712707130049</v>
      </c>
      <c r="AA11" s="55">
        <f>bdrateOld($D11:$D14,F11:F14,$M11:$M14,O11:O14)</f>
        <v>-4.86269253194838e-5</v>
      </c>
      <c r="AB11" s="56">
        <f>bdrateOld($D11:$D14,G11:G14,$M11:$M14,P11:P14)</f>
        <v>-0.000385721356517488</v>
      </c>
    </row>
    <row r="12" spans="1:28">
      <c r="A12" s="12"/>
      <c r="B12" s="12"/>
      <c r="C12" s="12">
        <v>27</v>
      </c>
      <c r="D12" s="74">
        <v>120516.47</v>
      </c>
      <c r="E12" s="75">
        <v>32.927</v>
      </c>
      <c r="F12" s="75">
        <v>37.378</v>
      </c>
      <c r="G12" s="75">
        <v>35.931</v>
      </c>
      <c r="H12" s="75">
        <v>43365.668</v>
      </c>
      <c r="I12" s="75">
        <v>170.915</v>
      </c>
      <c r="J12" s="14">
        <f t="shared" si="0"/>
        <v>33.858875</v>
      </c>
      <c r="K12" s="24">
        <f t="shared" si="2"/>
        <v>12.0460188888889</v>
      </c>
      <c r="M12" s="80">
        <v>120488.29</v>
      </c>
      <c r="N12" s="81">
        <v>32.926</v>
      </c>
      <c r="O12" s="81">
        <v>37.378</v>
      </c>
      <c r="P12" s="81">
        <v>35.931</v>
      </c>
      <c r="Q12" s="81">
        <v>44146.42</v>
      </c>
      <c r="R12" s="81">
        <v>160.835</v>
      </c>
      <c r="S12" s="26">
        <f t="shared" si="1"/>
        <v>33.858125</v>
      </c>
      <c r="T12" s="42">
        <f t="shared" si="3"/>
        <v>12.2628944444444</v>
      </c>
      <c r="U12" s="38"/>
      <c r="V12" s="43"/>
      <c r="W12" s="44"/>
      <c r="X12" s="44"/>
      <c r="Y12" s="44"/>
      <c r="Z12" s="43"/>
      <c r="AA12" s="44"/>
      <c r="AB12" s="45"/>
    </row>
    <row r="13" spans="1:28">
      <c r="A13" s="12"/>
      <c r="B13" s="12"/>
      <c r="C13" s="12">
        <v>32</v>
      </c>
      <c r="D13" s="74">
        <v>24311.5</v>
      </c>
      <c r="E13" s="75">
        <v>28.452</v>
      </c>
      <c r="F13" s="75">
        <v>36.022</v>
      </c>
      <c r="G13" s="75">
        <v>34.715</v>
      </c>
      <c r="H13" s="75">
        <v>37492.496</v>
      </c>
      <c r="I13" s="75">
        <v>116.768</v>
      </c>
      <c r="J13" s="14">
        <f t="shared" si="0"/>
        <v>30.181125</v>
      </c>
      <c r="K13" s="24">
        <f t="shared" si="2"/>
        <v>10.4145822222222</v>
      </c>
      <c r="M13" s="80">
        <v>24316.89</v>
      </c>
      <c r="N13" s="81">
        <v>28.453</v>
      </c>
      <c r="O13" s="81">
        <v>36.022</v>
      </c>
      <c r="P13" s="81">
        <v>34.716</v>
      </c>
      <c r="Q13" s="81">
        <v>38381.544</v>
      </c>
      <c r="R13" s="81">
        <v>135.112</v>
      </c>
      <c r="S13" s="26">
        <f t="shared" si="1"/>
        <v>30.182</v>
      </c>
      <c r="T13" s="42">
        <f t="shared" si="3"/>
        <v>10.66154</v>
      </c>
      <c r="U13" s="38"/>
      <c r="V13" s="43"/>
      <c r="W13" s="44"/>
      <c r="X13" s="44"/>
      <c r="Y13" s="44"/>
      <c r="Z13" s="43"/>
      <c r="AA13" s="44"/>
      <c r="AB13" s="45"/>
    </row>
    <row r="14" ht="12.15" spans="1:28">
      <c r="A14" s="12"/>
      <c r="B14" s="15"/>
      <c r="C14" s="15">
        <v>37</v>
      </c>
      <c r="D14" s="76">
        <v>6974.05</v>
      </c>
      <c r="E14" s="77">
        <v>27.187</v>
      </c>
      <c r="F14" s="77">
        <v>34.966</v>
      </c>
      <c r="G14" s="77">
        <v>33.728</v>
      </c>
      <c r="H14" s="77">
        <v>43297.52</v>
      </c>
      <c r="I14" s="77">
        <v>160.499</v>
      </c>
      <c r="J14" s="17">
        <f t="shared" si="0"/>
        <v>28.977</v>
      </c>
      <c r="K14" s="27">
        <f t="shared" si="2"/>
        <v>12.0270888888889</v>
      </c>
      <c r="M14" s="82">
        <v>6974.05</v>
      </c>
      <c r="N14" s="83">
        <v>27.187</v>
      </c>
      <c r="O14" s="83">
        <v>34.966</v>
      </c>
      <c r="P14" s="83">
        <v>33.728</v>
      </c>
      <c r="Q14" s="83">
        <v>44667.82</v>
      </c>
      <c r="R14" s="83">
        <v>121.955</v>
      </c>
      <c r="S14" s="29">
        <f t="shared" si="1"/>
        <v>28.977</v>
      </c>
      <c r="T14" s="46">
        <f t="shared" si="3"/>
        <v>12.4077277777778</v>
      </c>
      <c r="U14" s="38"/>
      <c r="V14" s="47"/>
      <c r="W14" s="48"/>
      <c r="X14" s="48"/>
      <c r="Y14" s="48"/>
      <c r="Z14" s="47"/>
      <c r="AA14" s="48"/>
      <c r="AB14" s="49"/>
    </row>
    <row r="15" spans="1:28">
      <c r="A15" s="12"/>
      <c r="B15" s="9" t="s">
        <v>22</v>
      </c>
      <c r="C15" s="9">
        <v>22</v>
      </c>
      <c r="D15" s="72">
        <v>24569.1</v>
      </c>
      <c r="E15" s="73">
        <v>40.871</v>
      </c>
      <c r="F15" s="73">
        <v>46.039</v>
      </c>
      <c r="G15" s="73">
        <v>45.723</v>
      </c>
      <c r="H15" s="73">
        <v>40543.44</v>
      </c>
      <c r="I15" s="73">
        <v>108.467</v>
      </c>
      <c r="J15" s="11">
        <f t="shared" si="0"/>
        <v>42.1235</v>
      </c>
      <c r="K15" s="21">
        <f t="shared" si="2"/>
        <v>11.2620666666667</v>
      </c>
      <c r="M15" s="78">
        <v>24569.1</v>
      </c>
      <c r="N15" s="79">
        <v>40.871</v>
      </c>
      <c r="O15" s="79">
        <v>46.039</v>
      </c>
      <c r="P15" s="79">
        <v>45.723</v>
      </c>
      <c r="Q15" s="79">
        <v>41549.708</v>
      </c>
      <c r="R15" s="79">
        <v>117.179</v>
      </c>
      <c r="S15" s="23">
        <f t="shared" si="1"/>
        <v>42.1235</v>
      </c>
      <c r="T15" s="37">
        <f t="shared" si="3"/>
        <v>11.5415855555556</v>
      </c>
      <c r="U15" s="38"/>
      <c r="V15" s="39">
        <f>bdrate($D15:$D18,E15:E18,$M15:$M18,N15:N18)</f>
        <v>8.37422103330265e-5</v>
      </c>
      <c r="W15" s="40">
        <f>bdrate($D15:$D18,F15:F18,$M15:$M18,O15:O18)</f>
        <v>-0.00038690000111008</v>
      </c>
      <c r="X15" s="40">
        <f>bdrate($D15:$D18,G15:G18,$M15:$M18,P15:P18)</f>
        <v>-7.95519454466209e-5</v>
      </c>
      <c r="Y15" s="40">
        <f>bdrate(D15:D18,J15:J18,M15:M18,S15:S18)</f>
        <v>3.4967020502652e-5</v>
      </c>
      <c r="Z15" s="54">
        <f>bdrateOld($D15:$D18,E15:E18,$M15:$M18,N15:N18)</f>
        <v>6.34326290782639e-5</v>
      </c>
      <c r="AA15" s="55">
        <f>bdrateOld($D15:$D18,F15:F18,$M15:$M18,O15:O18)</f>
        <v>-0.000323756284618337</v>
      </c>
      <c r="AB15" s="56">
        <f>bdrateOld($D15:$D18,G15:G18,$M15:$M18,P15:P18)</f>
        <v>-6.92014826826348e-5</v>
      </c>
    </row>
    <row r="16" spans="1:28">
      <c r="A16" s="12"/>
      <c r="B16" s="12"/>
      <c r="C16" s="12">
        <v>27</v>
      </c>
      <c r="D16" s="74">
        <v>7754.84</v>
      </c>
      <c r="E16" s="75">
        <v>39.352</v>
      </c>
      <c r="F16" s="75">
        <v>45.193</v>
      </c>
      <c r="G16" s="75">
        <v>45.026</v>
      </c>
      <c r="H16" s="75">
        <v>36666.256</v>
      </c>
      <c r="I16" s="75">
        <v>104.724</v>
      </c>
      <c r="J16" s="14">
        <f t="shared" si="0"/>
        <v>40.791375</v>
      </c>
      <c r="K16" s="24">
        <f t="shared" si="2"/>
        <v>10.1850711111111</v>
      </c>
      <c r="M16" s="80">
        <v>7752.72</v>
      </c>
      <c r="N16" s="81">
        <v>39.351</v>
      </c>
      <c r="O16" s="81">
        <v>45.194</v>
      </c>
      <c r="P16" s="81">
        <v>45.026</v>
      </c>
      <c r="Q16" s="81">
        <v>37707.144</v>
      </c>
      <c r="R16" s="81">
        <v>111.249</v>
      </c>
      <c r="S16" s="26">
        <f t="shared" si="1"/>
        <v>40.79075</v>
      </c>
      <c r="T16" s="42">
        <f t="shared" si="3"/>
        <v>10.4742066666667</v>
      </c>
      <c r="U16" s="38"/>
      <c r="V16" s="43"/>
      <c r="W16" s="44"/>
      <c r="X16" s="44"/>
      <c r="Y16" s="44"/>
      <c r="Z16" s="43"/>
      <c r="AA16" s="44"/>
      <c r="AB16" s="45"/>
    </row>
    <row r="17" spans="1:28">
      <c r="A17" s="12"/>
      <c r="B17" s="12"/>
      <c r="C17" s="12">
        <v>32</v>
      </c>
      <c r="D17" s="74">
        <v>3742.09</v>
      </c>
      <c r="E17" s="75">
        <v>37.455</v>
      </c>
      <c r="F17" s="75">
        <v>44.109</v>
      </c>
      <c r="G17" s="75">
        <v>43.792</v>
      </c>
      <c r="H17" s="75">
        <v>35616.456</v>
      </c>
      <c r="I17" s="75">
        <v>103.292</v>
      </c>
      <c r="J17" s="14">
        <f t="shared" si="0"/>
        <v>39.078875</v>
      </c>
      <c r="K17" s="24">
        <f t="shared" si="2"/>
        <v>9.89346</v>
      </c>
      <c r="M17" s="80">
        <v>3742.09</v>
      </c>
      <c r="N17" s="81">
        <v>37.455</v>
      </c>
      <c r="O17" s="81">
        <v>44.109</v>
      </c>
      <c r="P17" s="81">
        <v>43.792</v>
      </c>
      <c r="Q17" s="81">
        <v>36181.88</v>
      </c>
      <c r="R17" s="81">
        <v>105.792</v>
      </c>
      <c r="S17" s="26">
        <f t="shared" si="1"/>
        <v>39.078875</v>
      </c>
      <c r="T17" s="42">
        <f t="shared" si="3"/>
        <v>10.0505222222222</v>
      </c>
      <c r="U17" s="38"/>
      <c r="V17" s="43"/>
      <c r="W17" s="44"/>
      <c r="X17" s="44"/>
      <c r="Y17" s="44"/>
      <c r="Z17" s="43"/>
      <c r="AA17" s="44"/>
      <c r="AB17" s="45"/>
    </row>
    <row r="18" ht="12.15" spans="1:28">
      <c r="A18" s="15"/>
      <c r="B18" s="15"/>
      <c r="C18" s="15">
        <v>37</v>
      </c>
      <c r="D18" s="76">
        <v>2130.21</v>
      </c>
      <c r="E18" s="77">
        <v>35.023</v>
      </c>
      <c r="F18" s="77">
        <v>42.828</v>
      </c>
      <c r="G18" s="77">
        <v>42.495</v>
      </c>
      <c r="H18" s="77">
        <v>34416.58</v>
      </c>
      <c r="I18" s="77">
        <v>117.028</v>
      </c>
      <c r="J18" s="17">
        <f t="shared" si="0"/>
        <v>36.932625</v>
      </c>
      <c r="K18" s="27">
        <f t="shared" si="2"/>
        <v>9.56016111111111</v>
      </c>
      <c r="M18" s="82">
        <v>2130.21</v>
      </c>
      <c r="N18" s="83">
        <v>35.023</v>
      </c>
      <c r="O18" s="83">
        <v>42.828</v>
      </c>
      <c r="P18" s="83">
        <v>42.495</v>
      </c>
      <c r="Q18" s="83">
        <v>35631.56</v>
      </c>
      <c r="R18" s="83">
        <v>117.062</v>
      </c>
      <c r="S18" s="29">
        <f t="shared" si="1"/>
        <v>36.932625</v>
      </c>
      <c r="T18" s="46">
        <f t="shared" si="3"/>
        <v>9.89765555555556</v>
      </c>
      <c r="U18" s="38"/>
      <c r="V18" s="47"/>
      <c r="W18" s="48"/>
      <c r="X18" s="48"/>
      <c r="Y18" s="48"/>
      <c r="Z18" s="47"/>
      <c r="AA18" s="48"/>
      <c r="AB18" s="49"/>
    </row>
    <row r="19" spans="1:28">
      <c r="A19" s="9" t="s">
        <v>23</v>
      </c>
      <c r="B19" s="9" t="s">
        <v>24</v>
      </c>
      <c r="C19" s="9">
        <v>22</v>
      </c>
      <c r="D19" s="72">
        <v>5871.23</v>
      </c>
      <c r="E19" s="73">
        <v>40.979</v>
      </c>
      <c r="F19" s="73">
        <v>43.32</v>
      </c>
      <c r="G19" s="73">
        <v>44.875</v>
      </c>
      <c r="H19" s="73">
        <v>12459.012</v>
      </c>
      <c r="I19" s="73">
        <v>117.921</v>
      </c>
      <c r="J19" s="11">
        <f t="shared" si="0"/>
        <v>41.758625</v>
      </c>
      <c r="K19" s="21">
        <f t="shared" si="2"/>
        <v>3.46083666666667</v>
      </c>
      <c r="M19" s="63">
        <v>5871.23</v>
      </c>
      <c r="N19" s="64">
        <v>40.979</v>
      </c>
      <c r="O19" s="64">
        <v>43.32</v>
      </c>
      <c r="P19" s="64">
        <v>44.875</v>
      </c>
      <c r="Q19" s="64">
        <v>12821.147</v>
      </c>
      <c r="R19" s="64">
        <v>63.161</v>
      </c>
      <c r="S19" s="11">
        <f t="shared" si="1"/>
        <v>41.758625</v>
      </c>
      <c r="T19" s="21">
        <f t="shared" si="3"/>
        <v>3.56142972222222</v>
      </c>
      <c r="U19" s="38"/>
      <c r="V19" s="39">
        <f>bdrate($D19:$D22,E19:E22,$M19:$M22,N19:N22)</f>
        <v>0</v>
      </c>
      <c r="W19" s="40">
        <f>bdrate($D19:$D22,F19:F22,$M19:$M22,O19:O22)</f>
        <v>0</v>
      </c>
      <c r="X19" s="40">
        <f>bdrate($D19:$D22,G19:G22,$M19:$M22,P19:P22)</f>
        <v>0</v>
      </c>
      <c r="Y19" s="40">
        <f>bdrate(D19:D22,J19:J22,M19:M22,S19:S22)</f>
        <v>0</v>
      </c>
      <c r="Z19" s="54">
        <f>bdrateOld($D19:$D22,E19:E22,$M19:$M22,N19:N22)</f>
        <v>0</v>
      </c>
      <c r="AA19" s="55">
        <f>bdrateOld($D19:$D22,F19:F22,$M19:$M22,O19:O22)</f>
        <v>0</v>
      </c>
      <c r="AB19" s="56">
        <f>bdrateOld($D19:$D22,G19:G22,$M19:$M22,P19:P22)</f>
        <v>0</v>
      </c>
    </row>
    <row r="20" spans="1:28">
      <c r="A20" s="12" t="s">
        <v>25</v>
      </c>
      <c r="B20" s="12"/>
      <c r="C20" s="12">
        <v>27</v>
      </c>
      <c r="D20" s="74">
        <v>2756.35</v>
      </c>
      <c r="E20" s="75">
        <v>38.762</v>
      </c>
      <c r="F20" s="75">
        <v>42.047</v>
      </c>
      <c r="G20" s="75">
        <v>43.231</v>
      </c>
      <c r="H20" s="75">
        <v>12187.657</v>
      </c>
      <c r="I20" s="75">
        <v>63.013</v>
      </c>
      <c r="J20" s="14">
        <f t="shared" si="0"/>
        <v>39.73125</v>
      </c>
      <c r="K20" s="24">
        <f t="shared" si="2"/>
        <v>3.38546027777778</v>
      </c>
      <c r="M20" s="66">
        <v>2756.35</v>
      </c>
      <c r="N20" s="67">
        <v>38.762</v>
      </c>
      <c r="O20" s="67">
        <v>42.047</v>
      </c>
      <c r="P20" s="67">
        <v>43.231</v>
      </c>
      <c r="Q20" s="67">
        <v>12223.336</v>
      </c>
      <c r="R20" s="67">
        <v>50.109</v>
      </c>
      <c r="S20" s="14">
        <f t="shared" si="1"/>
        <v>39.73125</v>
      </c>
      <c r="T20" s="24">
        <f t="shared" si="3"/>
        <v>3.39537111111111</v>
      </c>
      <c r="U20" s="38"/>
      <c r="V20" s="43"/>
      <c r="W20" s="44"/>
      <c r="X20" s="44"/>
      <c r="Y20" s="44"/>
      <c r="Z20" s="43"/>
      <c r="AA20" s="44"/>
      <c r="AB20" s="45"/>
    </row>
    <row r="21" spans="1:28">
      <c r="A21" s="12"/>
      <c r="B21" s="12"/>
      <c r="C21" s="12">
        <v>32</v>
      </c>
      <c r="D21" s="74">
        <v>1387.43</v>
      </c>
      <c r="E21" s="75">
        <v>36.094</v>
      </c>
      <c r="F21" s="75">
        <v>40.836</v>
      </c>
      <c r="G21" s="75">
        <v>41.912</v>
      </c>
      <c r="H21" s="75">
        <v>12480.072</v>
      </c>
      <c r="I21" s="75">
        <v>116.048</v>
      </c>
      <c r="J21" s="14">
        <f t="shared" si="0"/>
        <v>37.414</v>
      </c>
      <c r="K21" s="24">
        <f t="shared" si="2"/>
        <v>3.46668666666667</v>
      </c>
      <c r="M21" s="66">
        <v>1387.43</v>
      </c>
      <c r="N21" s="67">
        <v>36.094</v>
      </c>
      <c r="O21" s="67">
        <v>40.836</v>
      </c>
      <c r="P21" s="67">
        <v>41.912</v>
      </c>
      <c r="Q21" s="67">
        <v>12793.342</v>
      </c>
      <c r="R21" s="67">
        <v>53.538</v>
      </c>
      <c r="S21" s="14">
        <f t="shared" si="1"/>
        <v>37.414</v>
      </c>
      <c r="T21" s="24">
        <f t="shared" si="3"/>
        <v>3.55370611111111</v>
      </c>
      <c r="U21" s="38"/>
      <c r="V21" s="43"/>
      <c r="W21" s="44"/>
      <c r="X21" s="44"/>
      <c r="Y21" s="44"/>
      <c r="Z21" s="43"/>
      <c r="AA21" s="44"/>
      <c r="AB21" s="45"/>
    </row>
    <row r="22" ht="12.15" spans="1:28">
      <c r="A22" s="12"/>
      <c r="B22" s="15"/>
      <c r="C22" s="15">
        <v>37</v>
      </c>
      <c r="D22" s="76">
        <v>748.98</v>
      </c>
      <c r="E22" s="77">
        <v>33.377</v>
      </c>
      <c r="F22" s="77">
        <v>39.699</v>
      </c>
      <c r="G22" s="77">
        <v>40.774</v>
      </c>
      <c r="H22" s="77">
        <v>13399.103</v>
      </c>
      <c r="I22" s="77">
        <v>91.48</v>
      </c>
      <c r="J22" s="17">
        <f t="shared" si="0"/>
        <v>35.091875</v>
      </c>
      <c r="K22" s="27">
        <f t="shared" si="2"/>
        <v>3.72197305555556</v>
      </c>
      <c r="M22" s="69">
        <v>748.98</v>
      </c>
      <c r="N22" s="70">
        <v>33.377</v>
      </c>
      <c r="O22" s="70">
        <v>39.699</v>
      </c>
      <c r="P22" s="70">
        <v>40.774</v>
      </c>
      <c r="Q22" s="70">
        <v>13799.992</v>
      </c>
      <c r="R22" s="70">
        <v>51.359</v>
      </c>
      <c r="S22" s="17">
        <f t="shared" si="1"/>
        <v>35.091875</v>
      </c>
      <c r="T22" s="27">
        <f t="shared" si="3"/>
        <v>3.83333111111111</v>
      </c>
      <c r="U22" s="38"/>
      <c r="V22" s="47"/>
      <c r="W22" s="48"/>
      <c r="X22" s="48"/>
      <c r="Y22" s="48"/>
      <c r="Z22" s="47"/>
      <c r="AA22" s="48"/>
      <c r="AB22" s="49"/>
    </row>
    <row r="23" spans="1:28">
      <c r="A23" s="12"/>
      <c r="B23" s="9" t="s">
        <v>26</v>
      </c>
      <c r="C23" s="9">
        <v>22</v>
      </c>
      <c r="D23" s="72">
        <v>8309.89</v>
      </c>
      <c r="E23" s="73">
        <v>39.432</v>
      </c>
      <c r="F23" s="73">
        <v>41.725</v>
      </c>
      <c r="G23" s="73">
        <v>42.881</v>
      </c>
      <c r="H23" s="73">
        <v>11872.296</v>
      </c>
      <c r="I23" s="73">
        <v>67.201</v>
      </c>
      <c r="J23" s="11">
        <f t="shared" si="0"/>
        <v>40.14975</v>
      </c>
      <c r="K23" s="21">
        <f t="shared" si="2"/>
        <v>3.29786</v>
      </c>
      <c r="M23" s="63">
        <v>8309.89</v>
      </c>
      <c r="N23" s="64">
        <v>39.432</v>
      </c>
      <c r="O23" s="64">
        <v>41.725</v>
      </c>
      <c r="P23" s="64">
        <v>42.881</v>
      </c>
      <c r="Q23" s="64">
        <v>12133.526</v>
      </c>
      <c r="R23" s="64">
        <v>56.088</v>
      </c>
      <c r="S23" s="11">
        <f t="shared" si="1"/>
        <v>40.14975</v>
      </c>
      <c r="T23" s="21">
        <f t="shared" si="3"/>
        <v>3.37042388888889</v>
      </c>
      <c r="U23" s="38"/>
      <c r="V23" s="39">
        <f>bdrate($D23:$D26,E23:E26,$M23:$M26,N23:N26)</f>
        <v>0</v>
      </c>
      <c r="W23" s="40">
        <f>bdrate($D23:$D26,F23:F26,$M23:$M26,O23:O26)</f>
        <v>0</v>
      </c>
      <c r="X23" s="40">
        <f>bdrate($D23:$D26,G23:G26,$M23:$M26,P23:P26)</f>
        <v>0</v>
      </c>
      <c r="Y23" s="40">
        <f>bdrate(D23:D26,J23:J26,M23:M26,S23:S26)</f>
        <v>0</v>
      </c>
      <c r="Z23" s="54">
        <f>bdrateOld($D23:$D26,E23:E26,$M23:$M26,N23:N26)</f>
        <v>0</v>
      </c>
      <c r="AA23" s="55">
        <f>bdrateOld($D23:$D26,F23:F26,$M23:$M26,O23:O26)</f>
        <v>0</v>
      </c>
      <c r="AB23" s="56">
        <f>bdrateOld($D23:$D26,G23:G26,$M23:$M26,P23:P26)</f>
        <v>0</v>
      </c>
    </row>
    <row r="24" spans="1:28">
      <c r="A24" s="12"/>
      <c r="B24" s="12"/>
      <c r="C24" s="12">
        <v>27</v>
      </c>
      <c r="D24" s="74">
        <v>3721.25</v>
      </c>
      <c r="E24" s="75">
        <v>36.785</v>
      </c>
      <c r="F24" s="75">
        <v>39.946</v>
      </c>
      <c r="G24" s="75">
        <v>40.979</v>
      </c>
      <c r="H24" s="75">
        <v>11312.628</v>
      </c>
      <c r="I24" s="75">
        <v>97.533</v>
      </c>
      <c r="J24" s="14">
        <f t="shared" si="0"/>
        <v>37.704375</v>
      </c>
      <c r="K24" s="24">
        <f t="shared" si="2"/>
        <v>3.14239666666667</v>
      </c>
      <c r="M24" s="66">
        <v>3721.25</v>
      </c>
      <c r="N24" s="67">
        <v>36.785</v>
      </c>
      <c r="O24" s="67">
        <v>39.946</v>
      </c>
      <c r="P24" s="67">
        <v>40.979</v>
      </c>
      <c r="Q24" s="67">
        <v>11323.874</v>
      </c>
      <c r="R24" s="67">
        <v>51.362</v>
      </c>
      <c r="S24" s="14">
        <f t="shared" si="1"/>
        <v>37.704375</v>
      </c>
      <c r="T24" s="24">
        <f t="shared" si="3"/>
        <v>3.14552055555556</v>
      </c>
      <c r="U24" s="38"/>
      <c r="V24" s="43"/>
      <c r="W24" s="44"/>
      <c r="X24" s="44"/>
      <c r="Y24" s="44"/>
      <c r="Z24" s="43"/>
      <c r="AA24" s="44"/>
      <c r="AB24" s="45"/>
    </row>
    <row r="25" spans="1:28">
      <c r="A25" s="12"/>
      <c r="B25" s="12"/>
      <c r="C25" s="12">
        <v>32</v>
      </c>
      <c r="D25" s="74">
        <v>1776.52</v>
      </c>
      <c r="E25" s="75">
        <v>33.983</v>
      </c>
      <c r="F25" s="75">
        <v>38.436</v>
      </c>
      <c r="G25" s="75">
        <v>39.699</v>
      </c>
      <c r="H25" s="75">
        <v>13543.149</v>
      </c>
      <c r="I25" s="75">
        <v>96.197</v>
      </c>
      <c r="J25" s="14">
        <f t="shared" si="0"/>
        <v>35.254125</v>
      </c>
      <c r="K25" s="24">
        <f t="shared" si="2"/>
        <v>3.76198583333333</v>
      </c>
      <c r="M25" s="66">
        <v>1776.52</v>
      </c>
      <c r="N25" s="67">
        <v>33.983</v>
      </c>
      <c r="O25" s="67">
        <v>38.436</v>
      </c>
      <c r="P25" s="67">
        <v>39.699</v>
      </c>
      <c r="Q25" s="67">
        <v>13724.87</v>
      </c>
      <c r="R25" s="67">
        <v>49.176</v>
      </c>
      <c r="S25" s="14">
        <f t="shared" si="1"/>
        <v>35.254125</v>
      </c>
      <c r="T25" s="24">
        <f t="shared" si="3"/>
        <v>3.81246388888889</v>
      </c>
      <c r="U25" s="38"/>
      <c r="V25" s="43"/>
      <c r="W25" s="44"/>
      <c r="X25" s="44"/>
      <c r="Y25" s="44"/>
      <c r="Z25" s="43"/>
      <c r="AA25" s="44"/>
      <c r="AB25" s="45"/>
    </row>
    <row r="26" ht="12.15" spans="1:28">
      <c r="A26" s="12"/>
      <c r="B26" s="15"/>
      <c r="C26" s="15">
        <v>37</v>
      </c>
      <c r="D26" s="76">
        <v>873.98</v>
      </c>
      <c r="E26" s="77">
        <v>31.333</v>
      </c>
      <c r="F26" s="77">
        <v>37.203</v>
      </c>
      <c r="G26" s="77">
        <v>38.805</v>
      </c>
      <c r="H26" s="77">
        <v>14042.581</v>
      </c>
      <c r="I26" s="77">
        <v>69.752</v>
      </c>
      <c r="J26" s="17">
        <f t="shared" si="0"/>
        <v>33.00075</v>
      </c>
      <c r="K26" s="27">
        <f t="shared" si="2"/>
        <v>3.90071694444444</v>
      </c>
      <c r="M26" s="69">
        <v>873.98</v>
      </c>
      <c r="N26" s="70">
        <v>31.333</v>
      </c>
      <c r="O26" s="70">
        <v>37.203</v>
      </c>
      <c r="P26" s="70">
        <v>38.805</v>
      </c>
      <c r="Q26" s="70">
        <v>14498.115</v>
      </c>
      <c r="R26" s="70">
        <v>47.953</v>
      </c>
      <c r="S26" s="17">
        <f t="shared" si="1"/>
        <v>33.00075</v>
      </c>
      <c r="T26" s="27">
        <f t="shared" si="3"/>
        <v>4.02725416666667</v>
      </c>
      <c r="U26" s="38"/>
      <c r="V26" s="47"/>
      <c r="W26" s="48"/>
      <c r="X26" s="48"/>
      <c r="Y26" s="48"/>
      <c r="Z26" s="47"/>
      <c r="AA26" s="48"/>
      <c r="AB26" s="49"/>
    </row>
    <row r="27" spans="1:28">
      <c r="A27" s="12"/>
      <c r="B27" s="9" t="s">
        <v>27</v>
      </c>
      <c r="C27" s="9">
        <v>22</v>
      </c>
      <c r="D27" s="72">
        <v>18411.38</v>
      </c>
      <c r="E27" s="73">
        <v>38.002</v>
      </c>
      <c r="F27" s="73">
        <v>39.744</v>
      </c>
      <c r="G27" s="73">
        <v>43.087</v>
      </c>
      <c r="H27" s="73">
        <v>26428.816</v>
      </c>
      <c r="I27" s="73">
        <v>115.098</v>
      </c>
      <c r="J27" s="11">
        <f t="shared" si="0"/>
        <v>38.855375</v>
      </c>
      <c r="K27" s="21">
        <f t="shared" si="2"/>
        <v>7.34133777777778</v>
      </c>
      <c r="M27" s="63">
        <v>18411.38</v>
      </c>
      <c r="N27" s="64">
        <v>38.002</v>
      </c>
      <c r="O27" s="64">
        <v>39.744</v>
      </c>
      <c r="P27" s="64">
        <v>43.087</v>
      </c>
      <c r="Q27" s="64">
        <v>27160.32</v>
      </c>
      <c r="R27" s="64">
        <v>195.05</v>
      </c>
      <c r="S27" s="11">
        <f t="shared" si="1"/>
        <v>38.855375</v>
      </c>
      <c r="T27" s="21">
        <f t="shared" si="3"/>
        <v>7.54453333333333</v>
      </c>
      <c r="U27" s="38"/>
      <c r="V27" s="39">
        <f>bdrate($D27:$D30,E27:E30,$M27:$M30,N27:N30)</f>
        <v>0</v>
      </c>
      <c r="W27" s="40">
        <f>bdrate($D27:$D30,F27:F30,$M27:$M30,O27:O30)</f>
        <v>0</v>
      </c>
      <c r="X27" s="40">
        <f>bdrate($D27:$D30,G27:G30,$M27:$M30,P27:P30)</f>
        <v>0</v>
      </c>
      <c r="Y27" s="40">
        <f>bdrate(D27:D30,J27:J30,M27:M30,S27:S30)</f>
        <v>0</v>
      </c>
      <c r="Z27" s="54">
        <f>bdrateOld($D27:$D30,E27:E30,$M27:$M30,N27:N30)</f>
        <v>0</v>
      </c>
      <c r="AA27" s="55">
        <f>bdrateOld($D27:$D30,F27:F30,$M27:$M30,O27:O30)</f>
        <v>0</v>
      </c>
      <c r="AB27" s="56">
        <f>bdrateOld($D27:$D30,G27:G30,$M27:$M30,P27:P30)</f>
        <v>0</v>
      </c>
    </row>
    <row r="28" spans="1:28">
      <c r="A28" s="12"/>
      <c r="B28" s="12"/>
      <c r="C28" s="12">
        <v>27</v>
      </c>
      <c r="D28" s="74">
        <v>6702.81</v>
      </c>
      <c r="E28" s="75">
        <v>36.301</v>
      </c>
      <c r="F28" s="75">
        <v>38.845</v>
      </c>
      <c r="G28" s="75">
        <v>41.421</v>
      </c>
      <c r="H28" s="75">
        <v>23214.184</v>
      </c>
      <c r="I28" s="75">
        <v>121.321</v>
      </c>
      <c r="J28" s="14">
        <f t="shared" si="0"/>
        <v>37.259</v>
      </c>
      <c r="K28" s="24">
        <f t="shared" si="2"/>
        <v>6.44838444444444</v>
      </c>
      <c r="M28" s="66">
        <v>6702.81</v>
      </c>
      <c r="N28" s="67">
        <v>36.301</v>
      </c>
      <c r="O28" s="67">
        <v>38.845</v>
      </c>
      <c r="P28" s="67">
        <v>41.421</v>
      </c>
      <c r="Q28" s="67">
        <v>23831.912</v>
      </c>
      <c r="R28" s="67">
        <v>184.805</v>
      </c>
      <c r="S28" s="14">
        <f t="shared" si="1"/>
        <v>37.259</v>
      </c>
      <c r="T28" s="24">
        <f t="shared" si="3"/>
        <v>6.61997555555556</v>
      </c>
      <c r="U28" s="38"/>
      <c r="V28" s="43"/>
      <c r="W28" s="44"/>
      <c r="X28" s="44"/>
      <c r="Y28" s="44"/>
      <c r="Z28" s="43"/>
      <c r="AA28" s="44"/>
      <c r="AB28" s="45"/>
    </row>
    <row r="29" spans="1:28">
      <c r="A29" s="12"/>
      <c r="B29" s="12"/>
      <c r="C29" s="12">
        <v>32</v>
      </c>
      <c r="D29" s="74">
        <v>3297.55</v>
      </c>
      <c r="E29" s="75">
        <v>34.178</v>
      </c>
      <c r="F29" s="75">
        <v>37.968</v>
      </c>
      <c r="G29" s="75">
        <v>39.812</v>
      </c>
      <c r="H29" s="75">
        <v>22107.896</v>
      </c>
      <c r="I29" s="75">
        <v>104.184</v>
      </c>
      <c r="J29" s="14">
        <f t="shared" si="0"/>
        <v>35.356</v>
      </c>
      <c r="K29" s="24">
        <f t="shared" si="2"/>
        <v>6.14108222222222</v>
      </c>
      <c r="M29" s="66">
        <v>3297.55</v>
      </c>
      <c r="N29" s="67">
        <v>34.178</v>
      </c>
      <c r="O29" s="67">
        <v>37.968</v>
      </c>
      <c r="P29" s="67">
        <v>39.812</v>
      </c>
      <c r="Q29" s="67">
        <v>22460.492</v>
      </c>
      <c r="R29" s="67">
        <v>131.053</v>
      </c>
      <c r="S29" s="14">
        <f t="shared" si="1"/>
        <v>35.356</v>
      </c>
      <c r="T29" s="24">
        <f t="shared" si="3"/>
        <v>6.23902555555556</v>
      </c>
      <c r="U29" s="38"/>
      <c r="V29" s="43"/>
      <c r="W29" s="44"/>
      <c r="X29" s="44"/>
      <c r="Y29" s="44"/>
      <c r="Z29" s="43"/>
      <c r="AA29" s="44"/>
      <c r="AB29" s="45"/>
    </row>
    <row r="30" ht="12.15" spans="1:28">
      <c r="A30" s="12"/>
      <c r="B30" s="15"/>
      <c r="C30" s="15">
        <v>37</v>
      </c>
      <c r="D30" s="76">
        <v>1735.19</v>
      </c>
      <c r="E30" s="77">
        <v>31.767</v>
      </c>
      <c r="F30" s="77">
        <v>37.025</v>
      </c>
      <c r="G30" s="77">
        <v>38.181</v>
      </c>
      <c r="H30" s="77">
        <v>21910.164</v>
      </c>
      <c r="I30" s="77">
        <v>127.401</v>
      </c>
      <c r="J30" s="17">
        <f t="shared" si="0"/>
        <v>33.226</v>
      </c>
      <c r="K30" s="27">
        <f t="shared" si="2"/>
        <v>6.08615666666667</v>
      </c>
      <c r="M30" s="69">
        <v>1735.19</v>
      </c>
      <c r="N30" s="70">
        <v>31.767</v>
      </c>
      <c r="O30" s="70">
        <v>37.025</v>
      </c>
      <c r="P30" s="70">
        <v>38.181</v>
      </c>
      <c r="Q30" s="70">
        <v>21780.568</v>
      </c>
      <c r="R30" s="70">
        <v>120.934</v>
      </c>
      <c r="S30" s="17">
        <f t="shared" si="1"/>
        <v>33.226</v>
      </c>
      <c r="T30" s="27">
        <f t="shared" si="3"/>
        <v>6.05015777777778</v>
      </c>
      <c r="U30" s="38"/>
      <c r="V30" s="47"/>
      <c r="W30" s="48"/>
      <c r="X30" s="48"/>
      <c r="Y30" s="48"/>
      <c r="Z30" s="47"/>
      <c r="AA30" s="48"/>
      <c r="AB30" s="49"/>
    </row>
    <row r="31" spans="1:28">
      <c r="A31" s="12"/>
      <c r="B31" s="9" t="s">
        <v>28</v>
      </c>
      <c r="C31" s="9">
        <v>22</v>
      </c>
      <c r="D31" s="72">
        <v>19071.52</v>
      </c>
      <c r="E31" s="73">
        <v>38.668</v>
      </c>
      <c r="F31" s="73">
        <v>43.292</v>
      </c>
      <c r="G31" s="73">
        <v>44.305</v>
      </c>
      <c r="H31" s="73">
        <v>32644.6</v>
      </c>
      <c r="I31" s="73">
        <v>120.161</v>
      </c>
      <c r="J31" s="11">
        <f t="shared" si="0"/>
        <v>39.950625</v>
      </c>
      <c r="K31" s="21">
        <f t="shared" si="2"/>
        <v>9.06794444444444</v>
      </c>
      <c r="M31" s="63">
        <v>19071.52</v>
      </c>
      <c r="N31" s="64">
        <v>38.668</v>
      </c>
      <c r="O31" s="64">
        <v>43.292</v>
      </c>
      <c r="P31" s="64">
        <v>44.305</v>
      </c>
      <c r="Q31" s="64">
        <v>33933.224</v>
      </c>
      <c r="R31" s="64">
        <v>154.8</v>
      </c>
      <c r="S31" s="11">
        <f t="shared" si="1"/>
        <v>39.950625</v>
      </c>
      <c r="T31" s="21">
        <f t="shared" si="3"/>
        <v>9.42589555555556</v>
      </c>
      <c r="U31" s="38"/>
      <c r="V31" s="39">
        <f>bdrate($D31:$D34,E31:E34,$M31:$M34,N31:N34)</f>
        <v>0</v>
      </c>
      <c r="W31" s="40">
        <f>bdrate($D31:$D34,F31:F34,$M31:$M34,O31:O34)</f>
        <v>0</v>
      </c>
      <c r="X31" s="40">
        <f>bdrate($D31:$D34,G31:G34,$M31:$M34,P31:P34)</f>
        <v>0</v>
      </c>
      <c r="Y31" s="40">
        <f>bdrate(D31:D34,J31:J34,M31:M34,S31:S34)</f>
        <v>0</v>
      </c>
      <c r="Z31" s="54">
        <f>bdrateOld($D31:$D34,E31:E34,$M31:$M34,N31:N34)</f>
        <v>0</v>
      </c>
      <c r="AA31" s="55">
        <f>bdrateOld($D31:$D34,F31:F34,$M31:$M34,O31:O34)</f>
        <v>0</v>
      </c>
      <c r="AB31" s="56">
        <f>bdrateOld($D31:$D34,G31:G34,$M31:$M34,P31:P34)</f>
        <v>0</v>
      </c>
    </row>
    <row r="32" spans="1:28">
      <c r="A32" s="12"/>
      <c r="B32" s="12"/>
      <c r="C32" s="12">
        <v>27</v>
      </c>
      <c r="D32" s="74">
        <v>7391.46</v>
      </c>
      <c r="E32" s="75">
        <v>36.762</v>
      </c>
      <c r="F32" s="75">
        <v>41.994</v>
      </c>
      <c r="G32" s="75">
        <v>42.313</v>
      </c>
      <c r="H32" s="75">
        <v>30150.822</v>
      </c>
      <c r="I32" s="75">
        <v>114.666</v>
      </c>
      <c r="J32" s="14">
        <f t="shared" si="0"/>
        <v>38.109875</v>
      </c>
      <c r="K32" s="24">
        <f t="shared" si="2"/>
        <v>8.37522833333333</v>
      </c>
      <c r="M32" s="66">
        <v>7391.46</v>
      </c>
      <c r="N32" s="67">
        <v>36.762</v>
      </c>
      <c r="O32" s="67">
        <v>41.994</v>
      </c>
      <c r="P32" s="67">
        <v>42.313</v>
      </c>
      <c r="Q32" s="67">
        <v>30839.932</v>
      </c>
      <c r="R32" s="67">
        <v>123.312</v>
      </c>
      <c r="S32" s="14">
        <f t="shared" si="1"/>
        <v>38.109875</v>
      </c>
      <c r="T32" s="24">
        <f t="shared" si="3"/>
        <v>8.56664777777778</v>
      </c>
      <c r="U32" s="38"/>
      <c r="V32" s="43"/>
      <c r="W32" s="44"/>
      <c r="X32" s="44"/>
      <c r="Y32" s="44"/>
      <c r="Z32" s="43"/>
      <c r="AA32" s="44"/>
      <c r="AB32" s="45"/>
    </row>
    <row r="33" spans="1:28">
      <c r="A33" s="12"/>
      <c r="B33" s="12"/>
      <c r="C33" s="12">
        <v>32</v>
      </c>
      <c r="D33" s="74">
        <v>3684.6</v>
      </c>
      <c r="E33" s="75">
        <v>34.61</v>
      </c>
      <c r="F33" s="75">
        <v>40.681</v>
      </c>
      <c r="G33" s="75">
        <v>40.358</v>
      </c>
      <c r="H33" s="75">
        <v>29335.922</v>
      </c>
      <c r="I33" s="75">
        <v>135.275</v>
      </c>
      <c r="J33" s="14">
        <f t="shared" si="0"/>
        <v>36.087375</v>
      </c>
      <c r="K33" s="24">
        <f t="shared" si="2"/>
        <v>8.14886722222222</v>
      </c>
      <c r="M33" s="66">
        <v>3684.6</v>
      </c>
      <c r="N33" s="67">
        <v>34.61</v>
      </c>
      <c r="O33" s="67">
        <v>40.681</v>
      </c>
      <c r="P33" s="67">
        <v>40.358</v>
      </c>
      <c r="Q33" s="67">
        <v>30189.944</v>
      </c>
      <c r="R33" s="67">
        <v>140.304</v>
      </c>
      <c r="S33" s="14">
        <f t="shared" si="1"/>
        <v>36.087375</v>
      </c>
      <c r="T33" s="24">
        <f t="shared" si="3"/>
        <v>8.38609555555556</v>
      </c>
      <c r="U33" s="38"/>
      <c r="V33" s="43"/>
      <c r="W33" s="44"/>
      <c r="X33" s="44"/>
      <c r="Y33" s="44"/>
      <c r="Z33" s="43"/>
      <c r="AA33" s="44"/>
      <c r="AB33" s="45"/>
    </row>
    <row r="34" ht="12.15" spans="1:28">
      <c r="A34" s="12"/>
      <c r="B34" s="15"/>
      <c r="C34" s="15">
        <v>37</v>
      </c>
      <c r="D34" s="76">
        <v>2071.82</v>
      </c>
      <c r="E34" s="77">
        <v>32.278</v>
      </c>
      <c r="F34" s="77">
        <v>39.295</v>
      </c>
      <c r="G34" s="77">
        <v>38.361</v>
      </c>
      <c r="H34" s="77">
        <v>29566.232</v>
      </c>
      <c r="I34" s="77">
        <v>156.868</v>
      </c>
      <c r="J34" s="17">
        <f t="shared" si="0"/>
        <v>33.9155</v>
      </c>
      <c r="K34" s="27">
        <f t="shared" si="2"/>
        <v>8.21284222222222</v>
      </c>
      <c r="M34" s="69">
        <v>2071.82</v>
      </c>
      <c r="N34" s="70">
        <v>32.278</v>
      </c>
      <c r="O34" s="70">
        <v>39.295</v>
      </c>
      <c r="P34" s="70">
        <v>38.361</v>
      </c>
      <c r="Q34" s="70">
        <v>30590.36</v>
      </c>
      <c r="R34" s="70">
        <v>115.129</v>
      </c>
      <c r="S34" s="17">
        <f t="shared" si="1"/>
        <v>33.9155</v>
      </c>
      <c r="T34" s="27">
        <f t="shared" si="3"/>
        <v>8.49732222222222</v>
      </c>
      <c r="U34" s="38"/>
      <c r="V34" s="47"/>
      <c r="W34" s="48"/>
      <c r="X34" s="48"/>
      <c r="Y34" s="48"/>
      <c r="Z34" s="47"/>
      <c r="AA34" s="48"/>
      <c r="AB34" s="49"/>
    </row>
    <row r="35" spans="1:28">
      <c r="A35" s="12"/>
      <c r="B35" s="9" t="s">
        <v>29</v>
      </c>
      <c r="C35" s="9">
        <v>22</v>
      </c>
      <c r="D35" s="72">
        <v>38065.9</v>
      </c>
      <c r="E35" s="73">
        <v>36.851</v>
      </c>
      <c r="F35" s="73">
        <v>41.429</v>
      </c>
      <c r="G35" s="73">
        <v>43.716</v>
      </c>
      <c r="H35" s="73">
        <v>32714.148</v>
      </c>
      <c r="I35" s="73">
        <v>224.634</v>
      </c>
      <c r="J35" s="11">
        <f t="shared" si="0"/>
        <v>38.281375</v>
      </c>
      <c r="K35" s="21">
        <f t="shared" si="2"/>
        <v>9.08726333333333</v>
      </c>
      <c r="M35" s="63">
        <v>38065.9</v>
      </c>
      <c r="N35" s="64">
        <v>36.851</v>
      </c>
      <c r="O35" s="64">
        <v>41.429</v>
      </c>
      <c r="P35" s="64">
        <v>43.716</v>
      </c>
      <c r="Q35" s="64">
        <v>34060.864</v>
      </c>
      <c r="R35" s="64">
        <v>175.898</v>
      </c>
      <c r="S35" s="11">
        <f t="shared" si="1"/>
        <v>38.281375</v>
      </c>
      <c r="T35" s="21">
        <f t="shared" si="3"/>
        <v>9.46135111111111</v>
      </c>
      <c r="U35" s="38"/>
      <c r="V35" s="39">
        <f>bdrate($D35:$D38,E35:E38,$M35:$M38,N35:N38)</f>
        <v>0</v>
      </c>
      <c r="W35" s="40">
        <f>bdrate($D35:$D38,F35:F38,$M35:$M38,O35:O38)</f>
        <v>0</v>
      </c>
      <c r="X35" s="40">
        <f>bdrate($D35:$D38,G35:G38,$M35:$M38,P35:P38)</f>
        <v>0</v>
      </c>
      <c r="Y35" s="40">
        <f>bdrate(D35:D38,J35:J38,M35:M38,S35:S38)</f>
        <v>0</v>
      </c>
      <c r="Z35" s="54">
        <f>bdrateOld($D35:$D38,E35:E38,$M35:$M38,N35:N38)</f>
        <v>0</v>
      </c>
      <c r="AA35" s="55">
        <f>bdrateOld($D35:$D38,F35:F38,$M35:$M38,O35:O38)</f>
        <v>0</v>
      </c>
      <c r="AB35" s="56">
        <f>bdrateOld($D35:$D38,G35:G38,$M35:$M38,P35:P38)</f>
        <v>0</v>
      </c>
    </row>
    <row r="36" spans="1:28">
      <c r="A36" s="12"/>
      <c r="B36" s="12"/>
      <c r="C36" s="12">
        <v>27</v>
      </c>
      <c r="D36" s="74">
        <v>7723.69</v>
      </c>
      <c r="E36" s="75">
        <v>34.663</v>
      </c>
      <c r="F36" s="75">
        <v>40.183</v>
      </c>
      <c r="G36" s="75">
        <v>42.697</v>
      </c>
      <c r="H36" s="75">
        <v>27776.44</v>
      </c>
      <c r="I36" s="75">
        <v>140.902</v>
      </c>
      <c r="J36" s="14">
        <f t="shared" si="0"/>
        <v>36.35725</v>
      </c>
      <c r="K36" s="24">
        <f t="shared" si="2"/>
        <v>7.71567777777778</v>
      </c>
      <c r="M36" s="66">
        <v>7723.69</v>
      </c>
      <c r="N36" s="67">
        <v>34.663</v>
      </c>
      <c r="O36" s="67">
        <v>40.183</v>
      </c>
      <c r="P36" s="67">
        <v>42.697</v>
      </c>
      <c r="Q36" s="67">
        <v>28676.268</v>
      </c>
      <c r="R36" s="67">
        <v>159.403</v>
      </c>
      <c r="S36" s="14">
        <f t="shared" si="1"/>
        <v>36.35725</v>
      </c>
      <c r="T36" s="24">
        <f t="shared" si="3"/>
        <v>7.96563</v>
      </c>
      <c r="U36" s="38"/>
      <c r="V36" s="43"/>
      <c r="W36" s="44"/>
      <c r="X36" s="44"/>
      <c r="Y36" s="44"/>
      <c r="Z36" s="43"/>
      <c r="AA36" s="44"/>
      <c r="AB36" s="45"/>
    </row>
    <row r="37" spans="1:28">
      <c r="A37" s="12"/>
      <c r="B37" s="12"/>
      <c r="C37" s="12">
        <v>32</v>
      </c>
      <c r="D37" s="74">
        <v>2709.09</v>
      </c>
      <c r="E37" s="75">
        <v>32.901</v>
      </c>
      <c r="F37" s="75">
        <v>39.134</v>
      </c>
      <c r="G37" s="75">
        <v>41.731</v>
      </c>
      <c r="H37" s="75">
        <v>25560.654</v>
      </c>
      <c r="I37" s="75">
        <v>126.302</v>
      </c>
      <c r="J37" s="14">
        <f t="shared" si="0"/>
        <v>34.783875</v>
      </c>
      <c r="K37" s="24">
        <f t="shared" si="2"/>
        <v>7.10018166666667</v>
      </c>
      <c r="M37" s="66">
        <v>2709.09</v>
      </c>
      <c r="N37" s="67">
        <v>32.901</v>
      </c>
      <c r="O37" s="67">
        <v>39.134</v>
      </c>
      <c r="P37" s="67">
        <v>41.731</v>
      </c>
      <c r="Q37" s="67">
        <v>26944.248</v>
      </c>
      <c r="R37" s="67">
        <v>181.922</v>
      </c>
      <c r="S37" s="14">
        <f t="shared" si="1"/>
        <v>34.783875</v>
      </c>
      <c r="T37" s="24">
        <f t="shared" si="3"/>
        <v>7.48451333333333</v>
      </c>
      <c r="U37" s="38"/>
      <c r="V37" s="43"/>
      <c r="W37" s="44"/>
      <c r="X37" s="44"/>
      <c r="Y37" s="44"/>
      <c r="Z37" s="43"/>
      <c r="AA37" s="44"/>
      <c r="AB37" s="45"/>
    </row>
    <row r="38" ht="12.15" spans="1:28">
      <c r="A38" s="15"/>
      <c r="B38" s="15"/>
      <c r="C38" s="15">
        <v>37</v>
      </c>
      <c r="D38" s="76">
        <v>1309.1</v>
      </c>
      <c r="E38" s="77">
        <v>30.823</v>
      </c>
      <c r="F38" s="77">
        <v>38.216</v>
      </c>
      <c r="G38" s="77">
        <v>40.81</v>
      </c>
      <c r="H38" s="77">
        <v>28025.088</v>
      </c>
      <c r="I38" s="77">
        <v>135.561</v>
      </c>
      <c r="J38" s="17">
        <f t="shared" si="0"/>
        <v>32.9955</v>
      </c>
      <c r="K38" s="27">
        <f t="shared" si="2"/>
        <v>7.78474666666667</v>
      </c>
      <c r="M38" s="69">
        <v>1309.1</v>
      </c>
      <c r="N38" s="70">
        <v>30.823</v>
      </c>
      <c r="O38" s="70">
        <v>38.216</v>
      </c>
      <c r="P38" s="70">
        <v>40.81</v>
      </c>
      <c r="Q38" s="70">
        <v>28563.748</v>
      </c>
      <c r="R38" s="70">
        <v>146.085</v>
      </c>
      <c r="S38" s="17">
        <f t="shared" si="1"/>
        <v>32.9955</v>
      </c>
      <c r="T38" s="27">
        <f t="shared" si="3"/>
        <v>7.93437444444444</v>
      </c>
      <c r="U38" s="38"/>
      <c r="V38" s="47"/>
      <c r="W38" s="48"/>
      <c r="X38" s="48"/>
      <c r="Y38" s="48"/>
      <c r="Z38" s="47"/>
      <c r="AA38" s="48"/>
      <c r="AB38" s="49"/>
    </row>
    <row r="39" spans="1:28">
      <c r="A39" s="9" t="s">
        <v>30</v>
      </c>
      <c r="B39" s="9" t="s">
        <v>31</v>
      </c>
      <c r="C39" s="9">
        <v>22</v>
      </c>
      <c r="D39" s="72">
        <v>4149.51</v>
      </c>
      <c r="E39" s="73">
        <v>39.575</v>
      </c>
      <c r="F39" s="73">
        <v>42.552</v>
      </c>
      <c r="G39" s="73">
        <v>43.021</v>
      </c>
      <c r="H39" s="73">
        <v>6504.989</v>
      </c>
      <c r="I39" s="73">
        <v>40.661</v>
      </c>
      <c r="J39" s="11">
        <f t="shared" si="0"/>
        <v>40.377875</v>
      </c>
      <c r="K39" s="21">
        <f t="shared" si="2"/>
        <v>1.80694138888889</v>
      </c>
      <c r="M39" s="63">
        <v>4149.51</v>
      </c>
      <c r="N39" s="64">
        <v>39.575</v>
      </c>
      <c r="O39" s="64">
        <v>42.552</v>
      </c>
      <c r="P39" s="64">
        <v>43.021</v>
      </c>
      <c r="Q39" s="64">
        <v>6626.297</v>
      </c>
      <c r="R39" s="64">
        <v>36.843</v>
      </c>
      <c r="S39" s="11">
        <f t="shared" si="1"/>
        <v>40.377875</v>
      </c>
      <c r="T39" s="21">
        <f t="shared" si="3"/>
        <v>1.84063805555556</v>
      </c>
      <c r="U39" s="38"/>
      <c r="V39" s="39">
        <f>bdrate($D39:$D42,E39:E42,$M39:$M42,N39:N42)</f>
        <v>0</v>
      </c>
      <c r="W39" s="40">
        <f>bdrate($D39:$D42,F39:F42,$M39:$M42,O39:O42)</f>
        <v>0</v>
      </c>
      <c r="X39" s="40">
        <f>bdrate($D39:$D42,G39:G42,$M39:$M42,P39:P42)</f>
        <v>0</v>
      </c>
      <c r="Y39" s="40">
        <f>bdrate(D39:D42,J39:J42,M39:M42,S39:S42)</f>
        <v>0</v>
      </c>
      <c r="Z39" s="54">
        <f>bdrateOld($D39:$D42,E39:E42,$M39:$M42,N39:N42)</f>
        <v>0</v>
      </c>
      <c r="AA39" s="55">
        <f>bdrateOld($D39:$D42,F39:F42,$M39:$M42,O39:O42)</f>
        <v>0</v>
      </c>
      <c r="AB39" s="56">
        <f>bdrateOld($D39:$D42,G39:G42,$M39:$M42,P39:P42)</f>
        <v>0</v>
      </c>
    </row>
    <row r="40" spans="1:28">
      <c r="A40" s="12" t="s">
        <v>32</v>
      </c>
      <c r="B40" s="12"/>
      <c r="C40" s="12">
        <v>27</v>
      </c>
      <c r="D40" s="74">
        <v>2013.83</v>
      </c>
      <c r="E40" s="75">
        <v>36.343</v>
      </c>
      <c r="F40" s="75">
        <v>40.129</v>
      </c>
      <c r="G40" s="75">
        <v>40.139</v>
      </c>
      <c r="H40" s="75">
        <v>6261.386</v>
      </c>
      <c r="I40" s="75">
        <v>36.861</v>
      </c>
      <c r="J40" s="14">
        <f t="shared" si="0"/>
        <v>37.29075</v>
      </c>
      <c r="K40" s="24">
        <f t="shared" si="2"/>
        <v>1.73927388888889</v>
      </c>
      <c r="M40" s="66">
        <v>2013.83</v>
      </c>
      <c r="N40" s="67">
        <v>36.343</v>
      </c>
      <c r="O40" s="67">
        <v>40.129</v>
      </c>
      <c r="P40" s="67">
        <v>40.139</v>
      </c>
      <c r="Q40" s="67">
        <v>6400.07</v>
      </c>
      <c r="R40" s="67">
        <v>44.282</v>
      </c>
      <c r="S40" s="14">
        <f t="shared" si="1"/>
        <v>37.29075</v>
      </c>
      <c r="T40" s="24">
        <f t="shared" si="3"/>
        <v>1.77779722222222</v>
      </c>
      <c r="U40" s="38"/>
      <c r="V40" s="43"/>
      <c r="W40" s="44"/>
      <c r="X40" s="44"/>
      <c r="Y40" s="44"/>
      <c r="Z40" s="43"/>
      <c r="AA40" s="44"/>
      <c r="AB40" s="45"/>
    </row>
    <row r="41" spans="1:28">
      <c r="A41" s="12"/>
      <c r="B41" s="12"/>
      <c r="C41" s="12">
        <v>32</v>
      </c>
      <c r="D41" s="74">
        <v>1005.55</v>
      </c>
      <c r="E41" s="75">
        <v>33.495</v>
      </c>
      <c r="F41" s="75">
        <v>37.764</v>
      </c>
      <c r="G41" s="75">
        <v>37.549</v>
      </c>
      <c r="H41" s="75">
        <v>5970.545</v>
      </c>
      <c r="I41" s="75">
        <v>42.882</v>
      </c>
      <c r="J41" s="14">
        <f t="shared" si="0"/>
        <v>34.535375</v>
      </c>
      <c r="K41" s="24">
        <f t="shared" si="2"/>
        <v>1.65848472222222</v>
      </c>
      <c r="M41" s="66">
        <v>1005.55</v>
      </c>
      <c r="N41" s="67">
        <v>33.495</v>
      </c>
      <c r="O41" s="67">
        <v>37.764</v>
      </c>
      <c r="P41" s="67">
        <v>37.549</v>
      </c>
      <c r="Q41" s="67">
        <v>6062.957</v>
      </c>
      <c r="R41" s="67">
        <v>35.216</v>
      </c>
      <c r="S41" s="14">
        <f t="shared" si="1"/>
        <v>34.535375</v>
      </c>
      <c r="T41" s="24">
        <f t="shared" si="3"/>
        <v>1.68415472222222</v>
      </c>
      <c r="U41" s="38"/>
      <c r="V41" s="43"/>
      <c r="W41" s="44"/>
      <c r="X41" s="44"/>
      <c r="Y41" s="44"/>
      <c r="Z41" s="43"/>
      <c r="AA41" s="44"/>
      <c r="AB41" s="45"/>
    </row>
    <row r="42" ht="12.15" spans="1:28">
      <c r="A42" s="12"/>
      <c r="B42" s="15"/>
      <c r="C42" s="15">
        <v>37</v>
      </c>
      <c r="D42" s="76">
        <v>538.14</v>
      </c>
      <c r="E42" s="77">
        <v>30.935</v>
      </c>
      <c r="F42" s="77">
        <v>35.67</v>
      </c>
      <c r="G42" s="77">
        <v>35.183</v>
      </c>
      <c r="H42" s="77">
        <v>5750.984</v>
      </c>
      <c r="I42" s="77">
        <v>33.119</v>
      </c>
      <c r="J42" s="17">
        <f t="shared" si="0"/>
        <v>32.057875</v>
      </c>
      <c r="K42" s="27">
        <f t="shared" si="2"/>
        <v>1.59749555555556</v>
      </c>
      <c r="M42" s="69">
        <v>538.14</v>
      </c>
      <c r="N42" s="70">
        <v>30.935</v>
      </c>
      <c r="O42" s="70">
        <v>35.67</v>
      </c>
      <c r="P42" s="70">
        <v>35.183</v>
      </c>
      <c r="Q42" s="70">
        <v>5834.238</v>
      </c>
      <c r="R42" s="70">
        <v>38.817</v>
      </c>
      <c r="S42" s="17">
        <f t="shared" si="1"/>
        <v>32.057875</v>
      </c>
      <c r="T42" s="27">
        <f t="shared" si="3"/>
        <v>1.62062166666667</v>
      </c>
      <c r="U42" s="38"/>
      <c r="V42" s="47"/>
      <c r="W42" s="48"/>
      <c r="X42" s="48"/>
      <c r="Y42" s="48"/>
      <c r="Z42" s="47"/>
      <c r="AA42" s="48"/>
      <c r="AB42" s="49"/>
    </row>
    <row r="43" spans="1:28">
      <c r="A43" s="12"/>
      <c r="B43" s="9" t="s">
        <v>33</v>
      </c>
      <c r="C43" s="9">
        <v>22</v>
      </c>
      <c r="D43" s="72">
        <v>4129.63</v>
      </c>
      <c r="E43" s="73">
        <v>39.562</v>
      </c>
      <c r="F43" s="73">
        <v>42.846</v>
      </c>
      <c r="G43" s="73">
        <v>44.215</v>
      </c>
      <c r="H43" s="73">
        <v>7220.032</v>
      </c>
      <c r="I43" s="73">
        <v>64.773</v>
      </c>
      <c r="J43" s="11">
        <f t="shared" si="0"/>
        <v>40.554125</v>
      </c>
      <c r="K43" s="21">
        <f t="shared" si="2"/>
        <v>2.00556444444444</v>
      </c>
      <c r="M43" s="63">
        <v>4129.63</v>
      </c>
      <c r="N43" s="64">
        <v>39.562</v>
      </c>
      <c r="O43" s="64">
        <v>42.846</v>
      </c>
      <c r="P43" s="64">
        <v>44.215</v>
      </c>
      <c r="Q43" s="64">
        <v>7372.88</v>
      </c>
      <c r="R43" s="64">
        <v>53.834</v>
      </c>
      <c r="S43" s="11">
        <f t="shared" si="1"/>
        <v>40.554125</v>
      </c>
      <c r="T43" s="21">
        <f t="shared" si="3"/>
        <v>2.04802222222222</v>
      </c>
      <c r="U43" s="38"/>
      <c r="V43" s="39">
        <f>bdrate($D43:$D46,E43:E46,$M43:$M46,N43:N46)</f>
        <v>0</v>
      </c>
      <c r="W43" s="40">
        <f>bdrate($D43:$D46,F43:F46,$M43:$M46,O43:O46)</f>
        <v>0</v>
      </c>
      <c r="X43" s="40">
        <f>bdrate($D43:$D46,G43:G46,$M43:$M46,P43:P46)</f>
        <v>0</v>
      </c>
      <c r="Y43" s="40">
        <f>bdrate(D43:D46,J43:J46,M43:M46,S43:S46)</f>
        <v>0</v>
      </c>
      <c r="Z43" s="54">
        <f>bdrateOld($D43:$D46,E43:E46,$M43:$M46,N43:N46)</f>
        <v>0</v>
      </c>
      <c r="AA43" s="55">
        <f>bdrateOld($D43:$D46,F43:F46,$M43:$M46,O43:O46)</f>
        <v>0</v>
      </c>
      <c r="AB43" s="56">
        <f>bdrateOld($D43:$D46,G43:G46,$M43:$M46,P43:P46)</f>
        <v>0</v>
      </c>
    </row>
    <row r="44" spans="1:28">
      <c r="A44" s="12"/>
      <c r="B44" s="12"/>
      <c r="C44" s="12">
        <v>27</v>
      </c>
      <c r="D44" s="74">
        <v>1967.56</v>
      </c>
      <c r="E44" s="75">
        <v>36.789</v>
      </c>
      <c r="F44" s="75">
        <v>41.031</v>
      </c>
      <c r="G44" s="75">
        <v>42.103</v>
      </c>
      <c r="H44" s="75">
        <v>6834.643</v>
      </c>
      <c r="I44" s="75">
        <v>50.733</v>
      </c>
      <c r="J44" s="14">
        <f t="shared" si="0"/>
        <v>37.9835</v>
      </c>
      <c r="K44" s="24">
        <f t="shared" si="2"/>
        <v>1.89851194444444</v>
      </c>
      <c r="M44" s="66">
        <v>1967.56</v>
      </c>
      <c r="N44" s="67">
        <v>36.789</v>
      </c>
      <c r="O44" s="67">
        <v>41.031</v>
      </c>
      <c r="P44" s="67">
        <v>42.103</v>
      </c>
      <c r="Q44" s="67">
        <v>6936.209</v>
      </c>
      <c r="R44" s="67">
        <v>45.446</v>
      </c>
      <c r="S44" s="14">
        <f t="shared" si="1"/>
        <v>37.9835</v>
      </c>
      <c r="T44" s="24">
        <f t="shared" si="3"/>
        <v>1.92672472222222</v>
      </c>
      <c r="U44" s="38"/>
      <c r="V44" s="43"/>
      <c r="W44" s="44"/>
      <c r="X44" s="44"/>
      <c r="Y44" s="44"/>
      <c r="Z44" s="43"/>
      <c r="AA44" s="44"/>
      <c r="AB44" s="45"/>
    </row>
    <row r="45" spans="1:28">
      <c r="A45" s="12"/>
      <c r="B45" s="12"/>
      <c r="C45" s="12">
        <v>32</v>
      </c>
      <c r="D45" s="74">
        <v>1011.71</v>
      </c>
      <c r="E45" s="75">
        <v>33.857</v>
      </c>
      <c r="F45" s="75">
        <v>39.415</v>
      </c>
      <c r="G45" s="75">
        <v>40.255</v>
      </c>
      <c r="H45" s="75">
        <v>6862.045</v>
      </c>
      <c r="I45" s="75">
        <v>65.025</v>
      </c>
      <c r="J45" s="14">
        <f t="shared" si="0"/>
        <v>35.3515</v>
      </c>
      <c r="K45" s="24">
        <f t="shared" si="2"/>
        <v>1.90612361111111</v>
      </c>
      <c r="M45" s="66">
        <v>1011.71</v>
      </c>
      <c r="N45" s="67">
        <v>33.857</v>
      </c>
      <c r="O45" s="67">
        <v>39.415</v>
      </c>
      <c r="P45" s="67">
        <v>40.255</v>
      </c>
      <c r="Q45" s="67">
        <v>6972.136</v>
      </c>
      <c r="R45" s="67">
        <v>48.035</v>
      </c>
      <c r="S45" s="14">
        <f t="shared" si="1"/>
        <v>35.3515</v>
      </c>
      <c r="T45" s="24">
        <f t="shared" si="3"/>
        <v>1.93670444444444</v>
      </c>
      <c r="U45" s="38"/>
      <c r="V45" s="43"/>
      <c r="W45" s="44"/>
      <c r="X45" s="44"/>
      <c r="Y45" s="44"/>
      <c r="Z45" s="43"/>
      <c r="AA45" s="44"/>
      <c r="AB45" s="45"/>
    </row>
    <row r="46" ht="12.15" spans="1:28">
      <c r="A46" s="12"/>
      <c r="B46" s="15"/>
      <c r="C46" s="15">
        <v>37</v>
      </c>
      <c r="D46" s="76">
        <v>556.41</v>
      </c>
      <c r="E46" s="77">
        <v>30.956</v>
      </c>
      <c r="F46" s="77">
        <v>38.012</v>
      </c>
      <c r="G46" s="77">
        <v>38.646</v>
      </c>
      <c r="H46" s="77">
        <v>7109.934</v>
      </c>
      <c r="I46" s="77">
        <v>47.956</v>
      </c>
      <c r="J46" s="17">
        <f t="shared" si="0"/>
        <v>32.79925</v>
      </c>
      <c r="K46" s="27">
        <f t="shared" si="2"/>
        <v>1.97498166666667</v>
      </c>
      <c r="M46" s="69">
        <v>556.41</v>
      </c>
      <c r="N46" s="70">
        <v>30.956</v>
      </c>
      <c r="O46" s="70">
        <v>38.012</v>
      </c>
      <c r="P46" s="70">
        <v>38.646</v>
      </c>
      <c r="Q46" s="70">
        <v>7202.927</v>
      </c>
      <c r="R46" s="70">
        <v>42.748</v>
      </c>
      <c r="S46" s="17">
        <f t="shared" si="1"/>
        <v>32.79925</v>
      </c>
      <c r="T46" s="27">
        <f t="shared" si="3"/>
        <v>2.00081305555556</v>
      </c>
      <c r="U46" s="38"/>
      <c r="V46" s="47"/>
      <c r="W46" s="48"/>
      <c r="X46" s="48"/>
      <c r="Y46" s="48"/>
      <c r="Z46" s="47"/>
      <c r="AA46" s="48"/>
      <c r="AB46" s="49"/>
    </row>
    <row r="47" spans="1:28">
      <c r="A47" s="12"/>
      <c r="B47" s="9" t="s">
        <v>34</v>
      </c>
      <c r="C47" s="9">
        <v>22</v>
      </c>
      <c r="D47" s="72">
        <v>7943.39</v>
      </c>
      <c r="E47" s="73">
        <v>37.477</v>
      </c>
      <c r="F47" s="73">
        <v>40.561</v>
      </c>
      <c r="G47" s="73">
        <v>41.505</v>
      </c>
      <c r="H47" s="73">
        <v>6288.185</v>
      </c>
      <c r="I47" s="73">
        <v>37.083</v>
      </c>
      <c r="J47" s="11">
        <f t="shared" si="0"/>
        <v>38.366</v>
      </c>
      <c r="K47" s="21">
        <f t="shared" si="2"/>
        <v>1.74671805555556</v>
      </c>
      <c r="M47" s="63">
        <v>7943.39</v>
      </c>
      <c r="N47" s="64">
        <v>37.477</v>
      </c>
      <c r="O47" s="64">
        <v>40.561</v>
      </c>
      <c r="P47" s="64">
        <v>41.505</v>
      </c>
      <c r="Q47" s="64">
        <v>6390.913</v>
      </c>
      <c r="R47" s="64">
        <v>48.766</v>
      </c>
      <c r="S47" s="11">
        <f t="shared" si="1"/>
        <v>38.366</v>
      </c>
      <c r="T47" s="21">
        <f t="shared" si="3"/>
        <v>1.77525361111111</v>
      </c>
      <c r="U47" s="38"/>
      <c r="V47" s="39">
        <f>bdrate($D47:$D50,E47:E50,$M47:$M50,N47:N50)</f>
        <v>0</v>
      </c>
      <c r="W47" s="40">
        <f>bdrate($D47:$D50,F47:F50,$M47:$M50,O47:O50)</f>
        <v>0</v>
      </c>
      <c r="X47" s="40">
        <f>bdrate($D47:$D50,G47:G50,$M47:$M50,P47:P50)</f>
        <v>0</v>
      </c>
      <c r="Y47" s="40">
        <f>bdrate(D47:D50,J47:J50,M47:M50,S47:S50)</f>
        <v>0</v>
      </c>
      <c r="Z47" s="54">
        <f>bdrateOld($D47:$D50,E47:E50,$M47:$M50,N47:N50)</f>
        <v>0</v>
      </c>
      <c r="AA47" s="55">
        <f>bdrateOld($D47:$D50,F47:F50,$M47:$M50,O47:O50)</f>
        <v>0</v>
      </c>
      <c r="AB47" s="56">
        <f>bdrateOld($D47:$D50,G47:G50,$M47:$M50,P47:P50)</f>
        <v>0</v>
      </c>
    </row>
    <row r="48" spans="1:28">
      <c r="A48" s="12"/>
      <c r="B48" s="12"/>
      <c r="C48" s="12">
        <v>27</v>
      </c>
      <c r="D48" s="74">
        <v>3481.21</v>
      </c>
      <c r="E48" s="75">
        <v>33.782</v>
      </c>
      <c r="F48" s="75">
        <v>38.237</v>
      </c>
      <c r="G48" s="75">
        <v>39.089</v>
      </c>
      <c r="H48" s="75">
        <v>6617.13</v>
      </c>
      <c r="I48" s="75">
        <v>38.072</v>
      </c>
      <c r="J48" s="14">
        <f t="shared" si="0"/>
        <v>35.00225</v>
      </c>
      <c r="K48" s="24">
        <f t="shared" si="2"/>
        <v>1.83809166666667</v>
      </c>
      <c r="M48" s="66">
        <v>3481.21</v>
      </c>
      <c r="N48" s="67">
        <v>33.782</v>
      </c>
      <c r="O48" s="67">
        <v>38.237</v>
      </c>
      <c r="P48" s="67">
        <v>39.089</v>
      </c>
      <c r="Q48" s="67">
        <v>6734.119</v>
      </c>
      <c r="R48" s="67">
        <v>39.824</v>
      </c>
      <c r="S48" s="14">
        <f t="shared" si="1"/>
        <v>35.00225</v>
      </c>
      <c r="T48" s="24">
        <f t="shared" si="3"/>
        <v>1.87058861111111</v>
      </c>
      <c r="U48" s="38"/>
      <c r="V48" s="43"/>
      <c r="W48" s="44"/>
      <c r="X48" s="44"/>
      <c r="Y48" s="44"/>
      <c r="Z48" s="43"/>
      <c r="AA48" s="44"/>
      <c r="AB48" s="45"/>
    </row>
    <row r="49" spans="1:28">
      <c r="A49" s="12"/>
      <c r="B49" s="12"/>
      <c r="C49" s="12">
        <v>32</v>
      </c>
      <c r="D49" s="74">
        <v>1600.13</v>
      </c>
      <c r="E49" s="75">
        <v>30.585</v>
      </c>
      <c r="F49" s="75">
        <v>36.432</v>
      </c>
      <c r="G49" s="75">
        <v>37.241</v>
      </c>
      <c r="H49" s="75">
        <v>6899.236</v>
      </c>
      <c r="I49" s="75">
        <v>53.581</v>
      </c>
      <c r="J49" s="14">
        <f t="shared" si="0"/>
        <v>32.147875</v>
      </c>
      <c r="K49" s="24">
        <f t="shared" si="2"/>
        <v>1.91645444444444</v>
      </c>
      <c r="M49" s="66">
        <v>1600.13</v>
      </c>
      <c r="N49" s="67">
        <v>30.585</v>
      </c>
      <c r="O49" s="67">
        <v>36.432</v>
      </c>
      <c r="P49" s="67">
        <v>37.241</v>
      </c>
      <c r="Q49" s="67">
        <v>7046.322</v>
      </c>
      <c r="R49" s="67">
        <v>35.308</v>
      </c>
      <c r="S49" s="14">
        <f t="shared" si="1"/>
        <v>32.147875</v>
      </c>
      <c r="T49" s="24">
        <f t="shared" si="3"/>
        <v>1.95731166666667</v>
      </c>
      <c r="U49" s="38"/>
      <c r="V49" s="43"/>
      <c r="W49" s="44"/>
      <c r="X49" s="44"/>
      <c r="Y49" s="44"/>
      <c r="Z49" s="43"/>
      <c r="AA49" s="44"/>
      <c r="AB49" s="45"/>
    </row>
    <row r="50" ht="12.15" spans="1:28">
      <c r="A50" s="12"/>
      <c r="B50" s="15"/>
      <c r="C50" s="15">
        <v>37</v>
      </c>
      <c r="D50" s="76">
        <v>735.72</v>
      </c>
      <c r="E50" s="77">
        <v>27.664</v>
      </c>
      <c r="F50" s="77">
        <v>34.933</v>
      </c>
      <c r="G50" s="77">
        <v>35.684</v>
      </c>
      <c r="H50" s="77">
        <v>6572.512</v>
      </c>
      <c r="I50" s="77">
        <v>36.794</v>
      </c>
      <c r="J50" s="17">
        <f t="shared" si="0"/>
        <v>29.575125</v>
      </c>
      <c r="K50" s="27">
        <f t="shared" si="2"/>
        <v>1.82569777777778</v>
      </c>
      <c r="M50" s="69">
        <v>735.72</v>
      </c>
      <c r="N50" s="70">
        <v>27.664</v>
      </c>
      <c r="O50" s="70">
        <v>34.933</v>
      </c>
      <c r="P50" s="70">
        <v>35.684</v>
      </c>
      <c r="Q50" s="70">
        <v>6745.249</v>
      </c>
      <c r="R50" s="70">
        <v>41.203</v>
      </c>
      <c r="S50" s="17">
        <f t="shared" si="1"/>
        <v>29.575125</v>
      </c>
      <c r="T50" s="27">
        <f t="shared" si="3"/>
        <v>1.87368027777778</v>
      </c>
      <c r="U50" s="38"/>
      <c r="V50" s="47"/>
      <c r="W50" s="48"/>
      <c r="X50" s="48"/>
      <c r="Y50" s="48"/>
      <c r="Z50" s="47"/>
      <c r="AA50" s="48"/>
      <c r="AB50" s="49"/>
    </row>
    <row r="51" spans="1:28">
      <c r="A51" s="12"/>
      <c r="B51" s="9" t="s">
        <v>35</v>
      </c>
      <c r="C51" s="9">
        <v>22</v>
      </c>
      <c r="D51" s="72">
        <v>5321.62</v>
      </c>
      <c r="E51" s="73">
        <v>38.691</v>
      </c>
      <c r="F51" s="73">
        <v>40.756</v>
      </c>
      <c r="G51" s="73">
        <v>42.33</v>
      </c>
      <c r="H51" s="73">
        <v>4770.732</v>
      </c>
      <c r="I51" s="73">
        <v>20.537</v>
      </c>
      <c r="J51" s="11">
        <f t="shared" si="0"/>
        <v>39.404</v>
      </c>
      <c r="K51" s="21">
        <f t="shared" si="2"/>
        <v>1.32520333333333</v>
      </c>
      <c r="M51" s="63">
        <v>5321.62</v>
      </c>
      <c r="N51" s="64">
        <v>38.691</v>
      </c>
      <c r="O51" s="64">
        <v>40.756</v>
      </c>
      <c r="P51" s="64">
        <v>42.33</v>
      </c>
      <c r="Q51" s="64">
        <v>4890.127</v>
      </c>
      <c r="R51" s="64">
        <v>22.442</v>
      </c>
      <c r="S51" s="11">
        <f t="shared" si="1"/>
        <v>39.404</v>
      </c>
      <c r="T51" s="21">
        <f t="shared" si="3"/>
        <v>1.35836861111111</v>
      </c>
      <c r="U51" s="38"/>
      <c r="V51" s="39">
        <f>bdrate($D51:$D54,E51:E54,$M51:$M54,N51:N54)</f>
        <v>0</v>
      </c>
      <c r="W51" s="40">
        <f>bdrate($D51:$D54,F51:F54,$M51:$M54,O51:O54)</f>
        <v>0</v>
      </c>
      <c r="X51" s="40">
        <f>bdrate($D51:$D54,G51:G54,$M51:$M54,P51:P54)</f>
        <v>0</v>
      </c>
      <c r="Y51" s="40">
        <f>bdrate(D51:D54,J51:J54,M51:M54,S51:S54)</f>
        <v>0</v>
      </c>
      <c r="Z51" s="54">
        <f>bdrateOld($D51:$D54,E51:E54,$M51:$M54,N51:N54)</f>
        <v>0</v>
      </c>
      <c r="AA51" s="55">
        <f>bdrateOld($D51:$D54,F51:F54,$M51:$M54,O51:O54)</f>
        <v>0</v>
      </c>
      <c r="AB51" s="56">
        <f>bdrateOld($D51:$D54,G51:G54,$M51:$M54,P51:P54)</f>
        <v>0</v>
      </c>
    </row>
    <row r="52" spans="1:28">
      <c r="A52" s="12"/>
      <c r="B52" s="12"/>
      <c r="C52" s="12">
        <v>27</v>
      </c>
      <c r="D52" s="74">
        <v>2266.74</v>
      </c>
      <c r="E52" s="75">
        <v>35.252</v>
      </c>
      <c r="F52" s="75">
        <v>38.507</v>
      </c>
      <c r="G52" s="75">
        <v>40.265</v>
      </c>
      <c r="H52" s="75">
        <v>4338.853</v>
      </c>
      <c r="I52" s="75">
        <v>17.261</v>
      </c>
      <c r="J52" s="14">
        <f t="shared" si="0"/>
        <v>36.2855</v>
      </c>
      <c r="K52" s="24">
        <f t="shared" si="2"/>
        <v>1.20523694444444</v>
      </c>
      <c r="M52" s="66">
        <v>2266.74</v>
      </c>
      <c r="N52" s="67">
        <v>35.252</v>
      </c>
      <c r="O52" s="67">
        <v>38.507</v>
      </c>
      <c r="P52" s="67">
        <v>40.265</v>
      </c>
      <c r="Q52" s="67">
        <v>4442.343</v>
      </c>
      <c r="R52" s="67">
        <v>23.657</v>
      </c>
      <c r="S52" s="14">
        <f t="shared" si="1"/>
        <v>36.2855</v>
      </c>
      <c r="T52" s="24">
        <f t="shared" si="3"/>
        <v>1.23398416666667</v>
      </c>
      <c r="U52" s="38"/>
      <c r="V52" s="43"/>
      <c r="W52" s="44"/>
      <c r="X52" s="44"/>
      <c r="Y52" s="44"/>
      <c r="Z52" s="43"/>
      <c r="AA52" s="44"/>
      <c r="AB52" s="45"/>
    </row>
    <row r="53" spans="1:28">
      <c r="A53" s="12"/>
      <c r="B53" s="12"/>
      <c r="C53" s="12">
        <v>32</v>
      </c>
      <c r="D53" s="74">
        <v>1091.89</v>
      </c>
      <c r="E53" s="75">
        <v>32.235</v>
      </c>
      <c r="F53" s="75">
        <v>36.631</v>
      </c>
      <c r="G53" s="75">
        <v>38.416</v>
      </c>
      <c r="H53" s="75">
        <v>4101.977</v>
      </c>
      <c r="I53" s="75">
        <v>18.349</v>
      </c>
      <c r="J53" s="14">
        <f t="shared" si="0"/>
        <v>33.557125</v>
      </c>
      <c r="K53" s="24">
        <f t="shared" si="2"/>
        <v>1.13943805555556</v>
      </c>
      <c r="M53" s="66">
        <v>1091.89</v>
      </c>
      <c r="N53" s="67">
        <v>32.235</v>
      </c>
      <c r="O53" s="67">
        <v>36.631</v>
      </c>
      <c r="P53" s="67">
        <v>38.416</v>
      </c>
      <c r="Q53" s="67">
        <v>4212.795</v>
      </c>
      <c r="R53" s="67">
        <v>30.404</v>
      </c>
      <c r="S53" s="14">
        <f t="shared" si="1"/>
        <v>33.557125</v>
      </c>
      <c r="T53" s="24">
        <f t="shared" si="3"/>
        <v>1.17022083333333</v>
      </c>
      <c r="U53" s="38"/>
      <c r="V53" s="43"/>
      <c r="W53" s="44"/>
      <c r="X53" s="44"/>
      <c r="Y53" s="44"/>
      <c r="Z53" s="43"/>
      <c r="AA53" s="44"/>
      <c r="AB53" s="45"/>
    </row>
    <row r="54" ht="12.15" spans="1:28">
      <c r="A54" s="15"/>
      <c r="B54" s="15"/>
      <c r="C54" s="15">
        <v>37</v>
      </c>
      <c r="D54" s="76">
        <v>555.28</v>
      </c>
      <c r="E54" s="77">
        <v>29.368</v>
      </c>
      <c r="F54" s="77">
        <v>34.95</v>
      </c>
      <c r="G54" s="77">
        <v>36.527</v>
      </c>
      <c r="H54" s="77">
        <v>3889.44</v>
      </c>
      <c r="I54" s="77">
        <v>16.981</v>
      </c>
      <c r="J54" s="17">
        <f t="shared" si="0"/>
        <v>30.960625</v>
      </c>
      <c r="K54" s="27">
        <f t="shared" si="2"/>
        <v>1.0804</v>
      </c>
      <c r="M54" s="69">
        <v>555.28</v>
      </c>
      <c r="N54" s="70">
        <v>29.368</v>
      </c>
      <c r="O54" s="70">
        <v>34.95</v>
      </c>
      <c r="P54" s="70">
        <v>36.527</v>
      </c>
      <c r="Q54" s="70">
        <v>3996.334</v>
      </c>
      <c r="R54" s="70">
        <v>24.006</v>
      </c>
      <c r="S54" s="17">
        <f t="shared" si="1"/>
        <v>30.960625</v>
      </c>
      <c r="T54" s="27">
        <f t="shared" si="3"/>
        <v>1.11009277777778</v>
      </c>
      <c r="U54" s="38"/>
      <c r="V54" s="47"/>
      <c r="W54" s="48"/>
      <c r="X54" s="48"/>
      <c r="Y54" s="48"/>
      <c r="Z54" s="47"/>
      <c r="AA54" s="48"/>
      <c r="AB54" s="49"/>
    </row>
    <row r="55" spans="1:28">
      <c r="A55" s="9" t="s">
        <v>36</v>
      </c>
      <c r="B55" s="9" t="s">
        <v>37</v>
      </c>
      <c r="C55" s="9">
        <v>22</v>
      </c>
      <c r="D55" s="72">
        <v>1727.09</v>
      </c>
      <c r="E55" s="73">
        <v>40.014</v>
      </c>
      <c r="F55" s="73">
        <v>43.162</v>
      </c>
      <c r="G55" s="73">
        <v>42.374</v>
      </c>
      <c r="H55" s="73">
        <v>1796.687</v>
      </c>
      <c r="I55" s="73">
        <v>8.026</v>
      </c>
      <c r="J55" s="11">
        <f t="shared" si="0"/>
        <v>40.7025</v>
      </c>
      <c r="K55" s="21">
        <f t="shared" si="2"/>
        <v>0.499079722222222</v>
      </c>
      <c r="M55" s="63">
        <v>1727.09</v>
      </c>
      <c r="N55" s="64">
        <v>40.014</v>
      </c>
      <c r="O55" s="64">
        <v>43.162</v>
      </c>
      <c r="P55" s="64">
        <v>42.374</v>
      </c>
      <c r="Q55" s="64">
        <v>1813.1</v>
      </c>
      <c r="R55" s="64">
        <v>7.974</v>
      </c>
      <c r="S55" s="11">
        <f t="shared" si="1"/>
        <v>40.7025</v>
      </c>
      <c r="T55" s="21">
        <f t="shared" si="3"/>
        <v>0.503638888888889</v>
      </c>
      <c r="U55" s="38"/>
      <c r="V55" s="39">
        <f>bdrate($D55:$D58,E55:E58,$M55:$M58,N55:N58)</f>
        <v>0</v>
      </c>
      <c r="W55" s="40">
        <f>bdrate($D55:$D58,F55:F58,$M55:$M58,O55:O58)</f>
        <v>0</v>
      </c>
      <c r="X55" s="40">
        <f>bdrate($D55:$D58,G55:G58,$M55:$M58,P55:P58)</f>
        <v>0</v>
      </c>
      <c r="Y55" s="40">
        <f>bdrate(D55:D58,J55:J58,M55:M58,S55:S58)</f>
        <v>0</v>
      </c>
      <c r="Z55" s="54">
        <f>bdrateOld($D55:$D58,E55:E58,$M55:$M58,N55:N58)</f>
        <v>0</v>
      </c>
      <c r="AA55" s="55">
        <f>bdrateOld($D55:$D58,F55:F58,$M55:$M58,O55:O58)</f>
        <v>0</v>
      </c>
      <c r="AB55" s="56">
        <f>bdrateOld($D55:$D58,G55:G58,$M55:$M58,P55:P58)</f>
        <v>0</v>
      </c>
    </row>
    <row r="56" spans="1:28">
      <c r="A56" s="12" t="s">
        <v>38</v>
      </c>
      <c r="B56" s="12"/>
      <c r="C56" s="12">
        <v>27</v>
      </c>
      <c r="D56" s="74">
        <v>858.89</v>
      </c>
      <c r="E56" s="75">
        <v>36.129</v>
      </c>
      <c r="F56" s="75">
        <v>40.609</v>
      </c>
      <c r="G56" s="75">
        <v>39.268</v>
      </c>
      <c r="H56" s="75">
        <v>1707.378</v>
      </c>
      <c r="I56" s="75">
        <v>7.58</v>
      </c>
      <c r="J56" s="14">
        <f t="shared" si="0"/>
        <v>37.081375</v>
      </c>
      <c r="K56" s="24">
        <f t="shared" si="2"/>
        <v>0.474271666666667</v>
      </c>
      <c r="M56" s="66">
        <v>858.89</v>
      </c>
      <c r="N56" s="67">
        <v>36.129</v>
      </c>
      <c r="O56" s="67">
        <v>40.609</v>
      </c>
      <c r="P56" s="67">
        <v>39.268</v>
      </c>
      <c r="Q56" s="67">
        <v>1731.634</v>
      </c>
      <c r="R56" s="67">
        <v>7.574</v>
      </c>
      <c r="S56" s="14">
        <f t="shared" si="1"/>
        <v>37.081375</v>
      </c>
      <c r="T56" s="24">
        <f t="shared" si="3"/>
        <v>0.481009444444444</v>
      </c>
      <c r="U56" s="38"/>
      <c r="V56" s="43"/>
      <c r="W56" s="44"/>
      <c r="X56" s="44"/>
      <c r="Y56" s="44"/>
      <c r="Z56" s="43"/>
      <c r="AA56" s="44"/>
      <c r="AB56" s="45"/>
    </row>
    <row r="57" spans="1:28">
      <c r="A57" s="12"/>
      <c r="B57" s="12"/>
      <c r="C57" s="12">
        <v>32</v>
      </c>
      <c r="D57" s="74">
        <v>427.99</v>
      </c>
      <c r="E57" s="75">
        <v>32.716</v>
      </c>
      <c r="F57" s="75">
        <v>38.579</v>
      </c>
      <c r="G57" s="75">
        <v>36.785</v>
      </c>
      <c r="H57" s="75">
        <v>1647.123</v>
      </c>
      <c r="I57" s="75">
        <v>7.266</v>
      </c>
      <c r="J57" s="14">
        <f t="shared" si="0"/>
        <v>33.9575</v>
      </c>
      <c r="K57" s="24">
        <f t="shared" si="2"/>
        <v>0.457534166666667</v>
      </c>
      <c r="M57" s="66">
        <v>427.99</v>
      </c>
      <c r="N57" s="67">
        <v>32.716</v>
      </c>
      <c r="O57" s="67">
        <v>38.579</v>
      </c>
      <c r="P57" s="67">
        <v>36.785</v>
      </c>
      <c r="Q57" s="67">
        <v>1674.12</v>
      </c>
      <c r="R57" s="67">
        <v>7.179</v>
      </c>
      <c r="S57" s="14">
        <f t="shared" si="1"/>
        <v>33.9575</v>
      </c>
      <c r="T57" s="24">
        <f t="shared" si="3"/>
        <v>0.465033333333333</v>
      </c>
      <c r="U57" s="38"/>
      <c r="V57" s="43"/>
      <c r="W57" s="44"/>
      <c r="X57" s="44"/>
      <c r="Y57" s="44"/>
      <c r="Z57" s="43"/>
      <c r="AA57" s="44"/>
      <c r="AB57" s="45"/>
    </row>
    <row r="58" ht="12.15" spans="1:28">
      <c r="A58" s="12"/>
      <c r="B58" s="15"/>
      <c r="C58" s="15">
        <v>37</v>
      </c>
      <c r="D58" s="76">
        <v>223.84</v>
      </c>
      <c r="E58" s="77">
        <v>29.863</v>
      </c>
      <c r="F58" s="77">
        <v>36.832</v>
      </c>
      <c r="G58" s="77">
        <v>34.661</v>
      </c>
      <c r="H58" s="77">
        <v>1567.534</v>
      </c>
      <c r="I58" s="77">
        <v>6.942</v>
      </c>
      <c r="J58" s="17">
        <f t="shared" si="0"/>
        <v>31.333875</v>
      </c>
      <c r="K58" s="27">
        <f t="shared" si="2"/>
        <v>0.435426111111111</v>
      </c>
      <c r="M58" s="69">
        <v>223.84</v>
      </c>
      <c r="N58" s="70">
        <v>29.863</v>
      </c>
      <c r="O58" s="70">
        <v>36.832</v>
      </c>
      <c r="P58" s="70">
        <v>34.661</v>
      </c>
      <c r="Q58" s="70">
        <v>1589.875</v>
      </c>
      <c r="R58" s="70">
        <v>7.004</v>
      </c>
      <c r="S58" s="17">
        <f t="shared" si="1"/>
        <v>31.333875</v>
      </c>
      <c r="T58" s="27">
        <f t="shared" si="3"/>
        <v>0.441631944444444</v>
      </c>
      <c r="U58" s="38"/>
      <c r="V58" s="47"/>
      <c r="W58" s="48"/>
      <c r="X58" s="48"/>
      <c r="Y58" s="48"/>
      <c r="Z58" s="47"/>
      <c r="AA58" s="48"/>
      <c r="AB58" s="49"/>
    </row>
    <row r="59" spans="1:28">
      <c r="A59" s="12"/>
      <c r="B59" s="9" t="s">
        <v>39</v>
      </c>
      <c r="C59" s="9">
        <v>22</v>
      </c>
      <c r="D59" s="72">
        <v>2068.18</v>
      </c>
      <c r="E59" s="73">
        <v>37.261</v>
      </c>
      <c r="F59" s="73">
        <v>42.056</v>
      </c>
      <c r="G59" s="73">
        <v>43.034</v>
      </c>
      <c r="H59" s="73">
        <v>1563.665</v>
      </c>
      <c r="I59" s="73">
        <v>9.877</v>
      </c>
      <c r="J59" s="11">
        <f t="shared" si="0"/>
        <v>38.582</v>
      </c>
      <c r="K59" s="21">
        <f t="shared" si="2"/>
        <v>0.434351388888889</v>
      </c>
      <c r="M59" s="63">
        <v>2068.18</v>
      </c>
      <c r="N59" s="64">
        <v>37.261</v>
      </c>
      <c r="O59" s="64">
        <v>42.056</v>
      </c>
      <c r="P59" s="64">
        <v>43.034</v>
      </c>
      <c r="Q59" s="64">
        <v>1593.117</v>
      </c>
      <c r="R59" s="64">
        <v>9.987</v>
      </c>
      <c r="S59" s="11">
        <f t="shared" si="1"/>
        <v>38.582</v>
      </c>
      <c r="T59" s="21">
        <f t="shared" si="3"/>
        <v>0.4425325</v>
      </c>
      <c r="U59" s="38"/>
      <c r="V59" s="39">
        <f>bdrate($D59:$D62,E59:E62,$M59:$M62,N59:N62)</f>
        <v>0</v>
      </c>
      <c r="W59" s="40">
        <f>bdrate($D59:$D62,F59:F62,$M59:$M62,O59:O62)</f>
        <v>0</v>
      </c>
      <c r="X59" s="40">
        <f>bdrate($D59:$D62,G59:G62,$M59:$M62,P59:P62)</f>
        <v>0</v>
      </c>
      <c r="Y59" s="40">
        <f>bdrate(D59:D62,J59:J62,M59:M62,S59:S62)</f>
        <v>0</v>
      </c>
      <c r="Z59" s="54">
        <f>bdrateOld($D59:$D62,E59:E62,$M59:$M62,N59:N62)</f>
        <v>0</v>
      </c>
      <c r="AA59" s="55">
        <f>bdrateOld($D59:$D62,F59:F62,$M59:$M62,O59:O62)</f>
        <v>0</v>
      </c>
      <c r="AB59" s="56">
        <f>bdrateOld($D59:$D62,G59:G62,$M59:$M62,P59:P62)</f>
        <v>0</v>
      </c>
    </row>
    <row r="60" spans="1:28">
      <c r="A60" s="12"/>
      <c r="B60" s="12"/>
      <c r="C60" s="12">
        <v>27</v>
      </c>
      <c r="D60" s="74">
        <v>733.18</v>
      </c>
      <c r="E60" s="75">
        <v>33.462</v>
      </c>
      <c r="F60" s="75">
        <v>40.443</v>
      </c>
      <c r="G60" s="75">
        <v>41.316</v>
      </c>
      <c r="H60" s="75">
        <v>1414.992</v>
      </c>
      <c r="I60" s="75">
        <v>9.065</v>
      </c>
      <c r="J60" s="14">
        <f t="shared" si="0"/>
        <v>35.316375</v>
      </c>
      <c r="K60" s="24">
        <f t="shared" si="2"/>
        <v>0.393053333333333</v>
      </c>
      <c r="M60" s="66">
        <v>733.18</v>
      </c>
      <c r="N60" s="67">
        <v>33.462</v>
      </c>
      <c r="O60" s="67">
        <v>40.443</v>
      </c>
      <c r="P60" s="67">
        <v>41.316</v>
      </c>
      <c r="Q60" s="67">
        <v>1443.648</v>
      </c>
      <c r="R60" s="67">
        <v>9.075</v>
      </c>
      <c r="S60" s="14">
        <f t="shared" si="1"/>
        <v>35.316375</v>
      </c>
      <c r="T60" s="24">
        <f t="shared" si="3"/>
        <v>0.401013333333333</v>
      </c>
      <c r="U60" s="38"/>
      <c r="V60" s="43"/>
      <c r="W60" s="44"/>
      <c r="X60" s="44"/>
      <c r="Y60" s="44"/>
      <c r="Z60" s="43"/>
      <c r="AA60" s="44"/>
      <c r="AB60" s="45"/>
    </row>
    <row r="61" spans="1:28">
      <c r="A61" s="12"/>
      <c r="B61" s="12"/>
      <c r="C61" s="12">
        <v>32</v>
      </c>
      <c r="D61" s="74">
        <v>328.88</v>
      </c>
      <c r="E61" s="75">
        <v>30.581</v>
      </c>
      <c r="F61" s="75">
        <v>39.294</v>
      </c>
      <c r="G61" s="75">
        <v>40.023</v>
      </c>
      <c r="H61" s="75">
        <v>1640.964</v>
      </c>
      <c r="I61" s="75">
        <v>8.6</v>
      </c>
      <c r="J61" s="14">
        <f t="shared" si="0"/>
        <v>32.850375</v>
      </c>
      <c r="K61" s="24">
        <f t="shared" si="2"/>
        <v>0.455823333333333</v>
      </c>
      <c r="M61" s="66">
        <v>328.88</v>
      </c>
      <c r="N61" s="67">
        <v>30.581</v>
      </c>
      <c r="O61" s="67">
        <v>39.294</v>
      </c>
      <c r="P61" s="67">
        <v>40.023</v>
      </c>
      <c r="Q61" s="67">
        <v>1666.951</v>
      </c>
      <c r="R61" s="67">
        <v>8.781</v>
      </c>
      <c r="S61" s="14">
        <f t="shared" si="1"/>
        <v>32.850375</v>
      </c>
      <c r="T61" s="24">
        <f t="shared" si="3"/>
        <v>0.463041944444444</v>
      </c>
      <c r="U61" s="38"/>
      <c r="V61" s="43"/>
      <c r="W61" s="44"/>
      <c r="X61" s="44"/>
      <c r="Y61" s="44"/>
      <c r="Z61" s="43"/>
      <c r="AA61" s="44"/>
      <c r="AB61" s="45"/>
    </row>
    <row r="62" ht="12.15" spans="1:28">
      <c r="A62" s="12"/>
      <c r="B62" s="15"/>
      <c r="C62" s="15">
        <v>37</v>
      </c>
      <c r="D62" s="76">
        <v>165.52</v>
      </c>
      <c r="E62" s="77">
        <v>27.865</v>
      </c>
      <c r="F62" s="77">
        <v>38.482</v>
      </c>
      <c r="G62" s="77">
        <v>38.903</v>
      </c>
      <c r="H62" s="77">
        <v>1824.615</v>
      </c>
      <c r="I62" s="77">
        <v>8.237</v>
      </c>
      <c r="J62" s="17">
        <f t="shared" si="0"/>
        <v>30.571875</v>
      </c>
      <c r="K62" s="27">
        <f t="shared" si="2"/>
        <v>0.5068375</v>
      </c>
      <c r="M62" s="69">
        <v>165.52</v>
      </c>
      <c r="N62" s="70">
        <v>27.865</v>
      </c>
      <c r="O62" s="70">
        <v>38.482</v>
      </c>
      <c r="P62" s="70">
        <v>38.903</v>
      </c>
      <c r="Q62" s="70">
        <v>1844.596</v>
      </c>
      <c r="R62" s="70">
        <v>8.838</v>
      </c>
      <c r="S62" s="17">
        <f t="shared" si="1"/>
        <v>30.571875</v>
      </c>
      <c r="T62" s="27">
        <f t="shared" si="3"/>
        <v>0.512387777777778</v>
      </c>
      <c r="U62" s="38"/>
      <c r="V62" s="47"/>
      <c r="W62" s="48"/>
      <c r="X62" s="48"/>
      <c r="Y62" s="48"/>
      <c r="Z62" s="47"/>
      <c r="AA62" s="48"/>
      <c r="AB62" s="49"/>
    </row>
    <row r="63" spans="1:28">
      <c r="A63" s="12"/>
      <c r="B63" s="9" t="s">
        <v>40</v>
      </c>
      <c r="C63" s="9">
        <v>22</v>
      </c>
      <c r="D63" s="72">
        <v>1806.93</v>
      </c>
      <c r="E63" s="73">
        <v>37.49</v>
      </c>
      <c r="F63" s="73">
        <v>40.569</v>
      </c>
      <c r="G63" s="73">
        <v>41.353</v>
      </c>
      <c r="H63" s="73">
        <v>1613.707</v>
      </c>
      <c r="I63" s="73">
        <v>7.869</v>
      </c>
      <c r="J63" s="11">
        <f t="shared" si="0"/>
        <v>38.35775</v>
      </c>
      <c r="K63" s="21">
        <f t="shared" si="2"/>
        <v>0.448251944444444</v>
      </c>
      <c r="M63" s="63">
        <v>1806.93</v>
      </c>
      <c r="N63" s="64">
        <v>37.49</v>
      </c>
      <c r="O63" s="64">
        <v>40.569</v>
      </c>
      <c r="P63" s="64">
        <v>41.353</v>
      </c>
      <c r="Q63" s="64">
        <v>1636.469</v>
      </c>
      <c r="R63" s="64">
        <v>7.983</v>
      </c>
      <c r="S63" s="11">
        <f t="shared" si="1"/>
        <v>38.35775</v>
      </c>
      <c r="T63" s="21">
        <f t="shared" si="3"/>
        <v>0.454574722222222</v>
      </c>
      <c r="U63" s="38"/>
      <c r="V63" s="39">
        <f>bdrate($D63:$D66,E63:E66,$M63:$M66,N63:N66)</f>
        <v>0</v>
      </c>
      <c r="W63" s="40">
        <f>bdrate($D63:$D66,F63:F66,$M63:$M66,O63:O66)</f>
        <v>0</v>
      </c>
      <c r="X63" s="40">
        <f>bdrate($D63:$D66,G63:G66,$M63:$M66,P63:P66)</f>
        <v>0</v>
      </c>
      <c r="Y63" s="40">
        <f>bdrate(D63:D66,J63:J66,M63:M66,S63:S66)</f>
        <v>0</v>
      </c>
      <c r="Z63" s="54">
        <f>bdrateOld($D63:$D66,E63:E66,$M63:$M66,N63:N66)</f>
        <v>0</v>
      </c>
      <c r="AA63" s="55">
        <f>bdrateOld($D63:$D66,F63:F66,$M63:$M66,O63:O66)</f>
        <v>0</v>
      </c>
      <c r="AB63" s="56">
        <f>bdrateOld($D63:$D66,G63:G66,$M63:$M66,P63:P66)</f>
        <v>0</v>
      </c>
    </row>
    <row r="64" spans="1:28">
      <c r="A64" s="12"/>
      <c r="B64" s="12"/>
      <c r="C64" s="12">
        <v>27</v>
      </c>
      <c r="D64" s="74">
        <v>816.09</v>
      </c>
      <c r="E64" s="75">
        <v>34.012</v>
      </c>
      <c r="F64" s="75">
        <v>38.097</v>
      </c>
      <c r="G64" s="75">
        <v>38.75</v>
      </c>
      <c r="H64" s="75">
        <v>1571.66</v>
      </c>
      <c r="I64" s="75">
        <v>7.683</v>
      </c>
      <c r="J64" s="14">
        <f t="shared" si="0"/>
        <v>35.114875</v>
      </c>
      <c r="K64" s="24">
        <f t="shared" si="2"/>
        <v>0.436572222222222</v>
      </c>
      <c r="M64" s="66">
        <v>816.09</v>
      </c>
      <c r="N64" s="67">
        <v>34.012</v>
      </c>
      <c r="O64" s="67">
        <v>38.097</v>
      </c>
      <c r="P64" s="67">
        <v>38.75</v>
      </c>
      <c r="Q64" s="67">
        <v>1584.252</v>
      </c>
      <c r="R64" s="67">
        <v>7.606</v>
      </c>
      <c r="S64" s="14">
        <f t="shared" si="1"/>
        <v>35.114875</v>
      </c>
      <c r="T64" s="24">
        <f t="shared" si="3"/>
        <v>0.44007</v>
      </c>
      <c r="U64" s="38"/>
      <c r="V64" s="43"/>
      <c r="W64" s="44"/>
      <c r="X64" s="44"/>
      <c r="Y64" s="44"/>
      <c r="Z64" s="43"/>
      <c r="AA64" s="44"/>
      <c r="AB64" s="45"/>
    </row>
    <row r="65" spans="1:28">
      <c r="A65" s="12"/>
      <c r="B65" s="12"/>
      <c r="C65" s="12">
        <v>32</v>
      </c>
      <c r="D65" s="74">
        <v>374.05</v>
      </c>
      <c r="E65" s="75">
        <v>30.789</v>
      </c>
      <c r="F65" s="75">
        <v>36.064</v>
      </c>
      <c r="G65" s="75">
        <v>36.71</v>
      </c>
      <c r="H65" s="75">
        <v>1632.778</v>
      </c>
      <c r="I65" s="75">
        <v>7.111</v>
      </c>
      <c r="J65" s="14">
        <f t="shared" si="0"/>
        <v>32.1885</v>
      </c>
      <c r="K65" s="24">
        <f t="shared" si="2"/>
        <v>0.453549444444444</v>
      </c>
      <c r="M65" s="66">
        <v>374.05</v>
      </c>
      <c r="N65" s="67">
        <v>30.789</v>
      </c>
      <c r="O65" s="67">
        <v>36.064</v>
      </c>
      <c r="P65" s="67">
        <v>36.71</v>
      </c>
      <c r="Q65" s="67">
        <v>1650.882</v>
      </c>
      <c r="R65" s="67">
        <v>7.084</v>
      </c>
      <c r="S65" s="14">
        <f t="shared" si="1"/>
        <v>32.1885</v>
      </c>
      <c r="T65" s="24">
        <f t="shared" si="3"/>
        <v>0.458578333333333</v>
      </c>
      <c r="U65" s="38"/>
      <c r="V65" s="43"/>
      <c r="W65" s="44"/>
      <c r="X65" s="44"/>
      <c r="Y65" s="44"/>
      <c r="Z65" s="43"/>
      <c r="AA65" s="44"/>
      <c r="AB65" s="45"/>
    </row>
    <row r="66" ht="12.15" spans="1:28">
      <c r="A66" s="12"/>
      <c r="B66" s="15"/>
      <c r="C66" s="15">
        <v>37</v>
      </c>
      <c r="D66" s="76">
        <v>170.64</v>
      </c>
      <c r="E66" s="77">
        <v>27.902</v>
      </c>
      <c r="F66" s="77">
        <v>34.401</v>
      </c>
      <c r="G66" s="77">
        <v>35.11</v>
      </c>
      <c r="H66" s="77">
        <v>1552.607</v>
      </c>
      <c r="I66" s="77">
        <v>6.769</v>
      </c>
      <c r="J66" s="17">
        <f t="shared" si="0"/>
        <v>29.615375</v>
      </c>
      <c r="K66" s="27">
        <f t="shared" si="2"/>
        <v>0.431279722222222</v>
      </c>
      <c r="M66" s="69">
        <v>170.64</v>
      </c>
      <c r="N66" s="70">
        <v>27.902</v>
      </c>
      <c r="O66" s="70">
        <v>34.401</v>
      </c>
      <c r="P66" s="70">
        <v>35.11</v>
      </c>
      <c r="Q66" s="70">
        <v>1576.438</v>
      </c>
      <c r="R66" s="70">
        <v>6.988</v>
      </c>
      <c r="S66" s="17">
        <f t="shared" si="1"/>
        <v>29.615375</v>
      </c>
      <c r="T66" s="27">
        <f t="shared" si="3"/>
        <v>0.437899444444444</v>
      </c>
      <c r="U66" s="38"/>
      <c r="V66" s="47"/>
      <c r="W66" s="48"/>
      <c r="X66" s="48"/>
      <c r="Y66" s="48"/>
      <c r="Z66" s="47"/>
      <c r="AA66" s="48"/>
      <c r="AB66" s="49"/>
    </row>
    <row r="67" spans="1:28">
      <c r="A67" s="12"/>
      <c r="B67" s="9" t="s">
        <v>35</v>
      </c>
      <c r="C67" s="9">
        <v>22</v>
      </c>
      <c r="D67" s="72">
        <v>1350.36</v>
      </c>
      <c r="E67" s="73">
        <v>38.96</v>
      </c>
      <c r="F67" s="73">
        <v>40.678</v>
      </c>
      <c r="G67" s="73">
        <v>41.801</v>
      </c>
      <c r="H67" s="73">
        <v>1198.98</v>
      </c>
      <c r="I67" s="73">
        <v>5.142</v>
      </c>
      <c r="J67" s="11">
        <f t="shared" si="0"/>
        <v>39.529875</v>
      </c>
      <c r="K67" s="21">
        <f t="shared" si="2"/>
        <v>0.33305</v>
      </c>
      <c r="M67" s="63">
        <v>1350.36</v>
      </c>
      <c r="N67" s="64">
        <v>38.96</v>
      </c>
      <c r="O67" s="64">
        <v>40.678</v>
      </c>
      <c r="P67" s="64">
        <v>41.801</v>
      </c>
      <c r="Q67" s="64">
        <v>1217.511</v>
      </c>
      <c r="R67" s="64">
        <v>5.298</v>
      </c>
      <c r="S67" s="11">
        <f t="shared" si="1"/>
        <v>39.529875</v>
      </c>
      <c r="T67" s="21">
        <f t="shared" si="3"/>
        <v>0.3381975</v>
      </c>
      <c r="U67" s="38"/>
      <c r="V67" s="39">
        <f>bdrate($D67:$D70,E67:E70,$M67:$M70,N67:N70)</f>
        <v>0</v>
      </c>
      <c r="W67" s="40">
        <f>bdrate($D67:$D70,F67:F70,$M67:$M70,O67:O70)</f>
        <v>0</v>
      </c>
      <c r="X67" s="40">
        <f>bdrate($D67:$D70,G67:G70,$M67:$M70,P67:P70)</f>
        <v>0</v>
      </c>
      <c r="Y67" s="40">
        <f>bdrate(D67:D70,J67:J70,M67:M70,S67:S70)</f>
        <v>0</v>
      </c>
      <c r="Z67" s="54">
        <f>bdrateOld($D67:$D70,E67:E70,$M67:$M70,N67:N70)</f>
        <v>0</v>
      </c>
      <c r="AA67" s="55">
        <f>bdrateOld($D67:$D70,F67:F70,$M67:$M70,O67:O70)</f>
        <v>0</v>
      </c>
      <c r="AB67" s="56">
        <f>bdrateOld($D67:$D70,G67:G70,$M67:$M70,P67:P70)</f>
        <v>0</v>
      </c>
    </row>
    <row r="68" spans="1:28">
      <c r="A68" s="12"/>
      <c r="B68" s="12"/>
      <c r="C68" s="12">
        <v>27</v>
      </c>
      <c r="D68" s="74">
        <v>666.69</v>
      </c>
      <c r="E68" s="75">
        <v>35.161</v>
      </c>
      <c r="F68" s="75">
        <v>38.052</v>
      </c>
      <c r="G68" s="75">
        <v>39.315</v>
      </c>
      <c r="H68" s="75">
        <v>1117.598</v>
      </c>
      <c r="I68" s="75">
        <v>4.736</v>
      </c>
      <c r="J68" s="14">
        <f>(6*E68+F68+G68)/8</f>
        <v>36.041625</v>
      </c>
      <c r="K68" s="24">
        <f t="shared" si="2"/>
        <v>0.310443888888889</v>
      </c>
      <c r="M68" s="66">
        <v>666.69</v>
      </c>
      <c r="N68" s="67">
        <v>35.161</v>
      </c>
      <c r="O68" s="67">
        <v>38.052</v>
      </c>
      <c r="P68" s="67">
        <v>39.315</v>
      </c>
      <c r="Q68" s="67">
        <v>1147.979</v>
      </c>
      <c r="R68" s="67">
        <v>5.031</v>
      </c>
      <c r="S68" s="14">
        <f>(6*N68+O68+P68)/8</f>
        <v>36.041625</v>
      </c>
      <c r="T68" s="24">
        <f t="shared" si="3"/>
        <v>0.318883055555556</v>
      </c>
      <c r="U68" s="38"/>
      <c r="V68" s="43"/>
      <c r="W68" s="44"/>
      <c r="X68" s="44"/>
      <c r="Y68" s="44"/>
      <c r="Z68" s="43"/>
      <c r="AA68" s="44"/>
      <c r="AB68" s="45"/>
    </row>
    <row r="69" spans="1:28">
      <c r="A69" s="12"/>
      <c r="B69" s="12"/>
      <c r="C69" s="12">
        <v>32</v>
      </c>
      <c r="D69" s="74">
        <v>326.37</v>
      </c>
      <c r="E69" s="75">
        <v>31.654</v>
      </c>
      <c r="F69" s="75">
        <v>36.048</v>
      </c>
      <c r="G69" s="75">
        <v>37.234</v>
      </c>
      <c r="H69" s="75">
        <v>1071.067</v>
      </c>
      <c r="I69" s="75">
        <v>4.42</v>
      </c>
      <c r="J69" s="14">
        <f>(6*E69+F69+G69)/8</f>
        <v>32.90075</v>
      </c>
      <c r="K69" s="24">
        <f t="shared" si="2"/>
        <v>0.297518611111111</v>
      </c>
      <c r="M69" s="66">
        <v>326.37</v>
      </c>
      <c r="N69" s="67">
        <v>31.654</v>
      </c>
      <c r="O69" s="67">
        <v>36.048</v>
      </c>
      <c r="P69" s="67">
        <v>37.234</v>
      </c>
      <c r="Q69" s="67">
        <v>1088.144</v>
      </c>
      <c r="R69" s="67">
        <v>4.548</v>
      </c>
      <c r="S69" s="14">
        <f>(6*N69+O69+P69)/8</f>
        <v>32.90075</v>
      </c>
      <c r="T69" s="24">
        <f t="shared" si="3"/>
        <v>0.302262222222222</v>
      </c>
      <c r="U69" s="38"/>
      <c r="V69" s="43"/>
      <c r="W69" s="44"/>
      <c r="X69" s="44"/>
      <c r="Y69" s="44"/>
      <c r="Z69" s="43"/>
      <c r="AA69" s="44"/>
      <c r="AB69" s="45"/>
    </row>
    <row r="70" ht="12.15" spans="1:28">
      <c r="A70" s="15"/>
      <c r="B70" s="15"/>
      <c r="C70" s="15">
        <v>37</v>
      </c>
      <c r="D70" s="76">
        <v>162.9</v>
      </c>
      <c r="E70" s="77">
        <v>28.729</v>
      </c>
      <c r="F70" s="77">
        <v>34.223</v>
      </c>
      <c r="G70" s="77">
        <v>35.281</v>
      </c>
      <c r="H70" s="77">
        <v>990.172</v>
      </c>
      <c r="I70" s="77">
        <v>4.212</v>
      </c>
      <c r="J70" s="17">
        <f>(6*E70+F70+G70)/8</f>
        <v>30.23475</v>
      </c>
      <c r="K70" s="27">
        <f t="shared" si="2"/>
        <v>0.275047777777778</v>
      </c>
      <c r="M70" s="69">
        <v>162.9</v>
      </c>
      <c r="N70" s="70">
        <v>28.729</v>
      </c>
      <c r="O70" s="70">
        <v>34.223</v>
      </c>
      <c r="P70" s="70">
        <v>35.281</v>
      </c>
      <c r="Q70" s="70">
        <v>1008.184</v>
      </c>
      <c r="R70" s="70">
        <v>4.29</v>
      </c>
      <c r="S70" s="17">
        <f>(6*N70+O70+P70)/8</f>
        <v>30.23475</v>
      </c>
      <c r="T70" s="27">
        <f t="shared" si="3"/>
        <v>0.280051111111111</v>
      </c>
      <c r="U70" s="38"/>
      <c r="V70" s="47"/>
      <c r="W70" s="48"/>
      <c r="X70" s="48"/>
      <c r="Y70" s="48"/>
      <c r="Z70" s="47"/>
      <c r="AA70" s="48"/>
      <c r="AB70" s="49"/>
    </row>
    <row r="71" spans="1:28">
      <c r="A71" s="9" t="s">
        <v>41</v>
      </c>
      <c r="B71" s="9" t="s">
        <v>42</v>
      </c>
      <c r="C71" s="9">
        <v>22</v>
      </c>
      <c r="D71" s="72"/>
      <c r="E71" s="73"/>
      <c r="F71" s="73"/>
      <c r="G71" s="73"/>
      <c r="H71" s="73"/>
      <c r="I71" s="73"/>
      <c r="J71" s="11"/>
      <c r="K71" s="21"/>
      <c r="M71" s="84"/>
      <c r="N71" s="85"/>
      <c r="O71" s="85"/>
      <c r="P71" s="85"/>
      <c r="Q71" s="85"/>
      <c r="R71" s="85"/>
      <c r="S71" s="11"/>
      <c r="T71" s="21"/>
      <c r="U71" s="38"/>
      <c r="V71" s="39" t="e">
        <f>bdrate($D71:$D74,E71:E74,$M71:$M74,N71:N74)</f>
        <v>#VALUE!</v>
      </c>
      <c r="W71" s="40" t="e">
        <f>bdrate($D71:$D74,F71:F74,$M71:$M74,O71:O74)</f>
        <v>#VALUE!</v>
      </c>
      <c r="X71" s="40" t="e">
        <f>bdrate($D71:$D74,G71:G74,$M71:$M74,P71:P74)</f>
        <v>#VALUE!</v>
      </c>
      <c r="Y71" s="40" t="e">
        <f>bdrate(D71:D74,J71:J74,M71:M74,S71:S74)</f>
        <v>#VALUE!</v>
      </c>
      <c r="Z71" s="54" t="e">
        <f>bdrateOld($D71:$D74,E71:E74,$M71:$M74,N71:N74)</f>
        <v>#VALUE!</v>
      </c>
      <c r="AA71" s="55" t="e">
        <f>bdrateOld($D71:$D74,F71:F74,$M71:$M74,O71:O74)</f>
        <v>#VALUE!</v>
      </c>
      <c r="AB71" s="56" t="e">
        <f>bdrateOld($D71:$D74,G71:G74,$M71:$M74,P71:P74)</f>
        <v>#VALUE!</v>
      </c>
    </row>
    <row r="72" spans="1:28">
      <c r="A72" s="12" t="s">
        <v>43</v>
      </c>
      <c r="B72" s="12"/>
      <c r="C72" s="12">
        <v>27</v>
      </c>
      <c r="D72" s="74"/>
      <c r="E72" s="75"/>
      <c r="F72" s="75"/>
      <c r="G72" s="75"/>
      <c r="H72" s="75"/>
      <c r="I72" s="75"/>
      <c r="J72" s="14"/>
      <c r="K72" s="24"/>
      <c r="M72" s="86"/>
      <c r="N72" s="87"/>
      <c r="O72" s="87"/>
      <c r="P72" s="87"/>
      <c r="Q72" s="87"/>
      <c r="R72" s="87"/>
      <c r="S72" s="14"/>
      <c r="T72" s="24"/>
      <c r="U72" s="38"/>
      <c r="V72" s="43"/>
      <c r="W72" s="44"/>
      <c r="X72" s="44"/>
      <c r="Y72" s="44"/>
      <c r="Z72" s="43"/>
      <c r="AA72" s="44"/>
      <c r="AB72" s="45"/>
    </row>
    <row r="73" spans="1:28">
      <c r="A73" s="12"/>
      <c r="B73" s="12"/>
      <c r="C73" s="12">
        <v>32</v>
      </c>
      <c r="D73" s="74"/>
      <c r="E73" s="75"/>
      <c r="F73" s="75"/>
      <c r="G73" s="75"/>
      <c r="H73" s="75"/>
      <c r="I73" s="75"/>
      <c r="J73" s="14"/>
      <c r="K73" s="24"/>
      <c r="M73" s="86"/>
      <c r="N73" s="87"/>
      <c r="O73" s="87"/>
      <c r="P73" s="87"/>
      <c r="Q73" s="87"/>
      <c r="R73" s="87"/>
      <c r="S73" s="14"/>
      <c r="T73" s="24"/>
      <c r="U73" s="38"/>
      <c r="V73" s="43"/>
      <c r="W73" s="44"/>
      <c r="X73" s="44"/>
      <c r="Y73" s="44"/>
      <c r="Z73" s="43"/>
      <c r="AA73" s="44"/>
      <c r="AB73" s="45"/>
    </row>
    <row r="74" ht="12.15" spans="1:28">
      <c r="A74" s="12"/>
      <c r="B74" s="15"/>
      <c r="C74" s="15">
        <v>37</v>
      </c>
      <c r="D74" s="76"/>
      <c r="E74" s="77"/>
      <c r="F74" s="77"/>
      <c r="G74" s="77"/>
      <c r="H74" s="77"/>
      <c r="I74" s="77"/>
      <c r="J74" s="17"/>
      <c r="K74" s="27"/>
      <c r="M74" s="88"/>
      <c r="N74" s="89"/>
      <c r="O74" s="89"/>
      <c r="P74" s="89"/>
      <c r="Q74" s="89"/>
      <c r="R74" s="89"/>
      <c r="S74" s="17"/>
      <c r="T74" s="27"/>
      <c r="U74" s="38"/>
      <c r="V74" s="47"/>
      <c r="W74" s="48"/>
      <c r="X74" s="48"/>
      <c r="Y74" s="48"/>
      <c r="Z74" s="47"/>
      <c r="AA74" s="48"/>
      <c r="AB74" s="49"/>
    </row>
    <row r="75" spans="1:28">
      <c r="A75" s="12"/>
      <c r="B75" s="9" t="s">
        <v>44</v>
      </c>
      <c r="C75" s="9">
        <v>22</v>
      </c>
      <c r="D75" s="72"/>
      <c r="E75" s="73"/>
      <c r="F75" s="73"/>
      <c r="G75" s="73"/>
      <c r="H75" s="73"/>
      <c r="I75" s="73"/>
      <c r="J75" s="11"/>
      <c r="K75" s="21"/>
      <c r="M75" s="84"/>
      <c r="N75" s="85"/>
      <c r="O75" s="85"/>
      <c r="P75" s="85"/>
      <c r="Q75" s="85"/>
      <c r="R75" s="85"/>
      <c r="S75" s="11"/>
      <c r="T75" s="21"/>
      <c r="U75" s="38"/>
      <c r="V75" s="39" t="e">
        <f>bdrate($D75:$D78,E75:E78,$M75:$M78,N75:N78)</f>
        <v>#VALUE!</v>
      </c>
      <c r="W75" s="40" t="e">
        <f>bdrate($D75:$D78,F75:F78,$M75:$M78,O75:O78)</f>
        <v>#VALUE!</v>
      </c>
      <c r="X75" s="40" t="e">
        <f>bdrate($D75:$D78,G75:G78,$M75:$M78,P75:P78)</f>
        <v>#VALUE!</v>
      </c>
      <c r="Y75" s="40" t="e">
        <f>bdrate(D75:D78,J75:J78,M75:M78,S75:S78)</f>
        <v>#VALUE!</v>
      </c>
      <c r="Z75" s="54" t="e">
        <f>bdrateOld($D75:$D78,E75:E78,$M75:$M78,N75:N78)</f>
        <v>#VALUE!</v>
      </c>
      <c r="AA75" s="55" t="e">
        <f>bdrateOld($D75:$D78,F75:F78,$M75:$M78,O75:O78)</f>
        <v>#VALUE!</v>
      </c>
      <c r="AB75" s="56" t="e">
        <f>bdrateOld($D75:$D78,G75:G78,$M75:$M78,P75:P78)</f>
        <v>#VALUE!</v>
      </c>
    </row>
    <row r="76" spans="1:28">
      <c r="A76" s="12"/>
      <c r="B76" s="12"/>
      <c r="C76" s="12">
        <v>27</v>
      </c>
      <c r="D76" s="74"/>
      <c r="E76" s="75"/>
      <c r="F76" s="75"/>
      <c r="G76" s="75"/>
      <c r="H76" s="75"/>
      <c r="I76" s="75"/>
      <c r="J76" s="14"/>
      <c r="K76" s="24"/>
      <c r="M76" s="86"/>
      <c r="N76" s="87"/>
      <c r="O76" s="87"/>
      <c r="P76" s="87"/>
      <c r="Q76" s="87"/>
      <c r="R76" s="87"/>
      <c r="S76" s="14"/>
      <c r="T76" s="24"/>
      <c r="U76" s="38"/>
      <c r="V76" s="43"/>
      <c r="W76" s="44"/>
      <c r="X76" s="44"/>
      <c r="Y76" s="44"/>
      <c r="Z76" s="43"/>
      <c r="AA76" s="44"/>
      <c r="AB76" s="45"/>
    </row>
    <row r="77" spans="1:28">
      <c r="A77" s="12"/>
      <c r="B77" s="12"/>
      <c r="C77" s="12">
        <v>32</v>
      </c>
      <c r="D77" s="74"/>
      <c r="E77" s="75"/>
      <c r="F77" s="75"/>
      <c r="G77" s="75"/>
      <c r="H77" s="75"/>
      <c r="I77" s="75"/>
      <c r="J77" s="14"/>
      <c r="K77" s="24"/>
      <c r="M77" s="86"/>
      <c r="N77" s="87"/>
      <c r="O77" s="87"/>
      <c r="P77" s="87"/>
      <c r="Q77" s="87"/>
      <c r="R77" s="87"/>
      <c r="S77" s="14"/>
      <c r="T77" s="24"/>
      <c r="U77" s="38"/>
      <c r="V77" s="43"/>
      <c r="W77" s="44"/>
      <c r="X77" s="44"/>
      <c r="Y77" s="44"/>
      <c r="Z77" s="43"/>
      <c r="AA77" s="44"/>
      <c r="AB77" s="45"/>
    </row>
    <row r="78" ht="12.15" spans="1:28">
      <c r="A78" s="12"/>
      <c r="B78" s="15"/>
      <c r="C78" s="15">
        <v>37</v>
      </c>
      <c r="D78" s="76"/>
      <c r="E78" s="77"/>
      <c r="F78" s="77"/>
      <c r="G78" s="77"/>
      <c r="H78" s="77"/>
      <c r="I78" s="77"/>
      <c r="J78" s="17"/>
      <c r="K78" s="27"/>
      <c r="M78" s="88"/>
      <c r="N78" s="89"/>
      <c r="O78" s="89"/>
      <c r="P78" s="89"/>
      <c r="Q78" s="89"/>
      <c r="R78" s="89"/>
      <c r="S78" s="17"/>
      <c r="T78" s="27"/>
      <c r="U78" s="38"/>
      <c r="V78" s="47"/>
      <c r="W78" s="48"/>
      <c r="X78" s="48"/>
      <c r="Y78" s="48"/>
      <c r="Z78" s="47"/>
      <c r="AA78" s="48"/>
      <c r="AB78" s="49"/>
    </row>
    <row r="79" spans="1:28">
      <c r="A79" s="12"/>
      <c r="B79" s="9" t="s">
        <v>45</v>
      </c>
      <c r="C79" s="9">
        <v>22</v>
      </c>
      <c r="D79" s="72"/>
      <c r="E79" s="73"/>
      <c r="F79" s="73"/>
      <c r="G79" s="73"/>
      <c r="H79" s="73"/>
      <c r="I79" s="73"/>
      <c r="J79" s="11"/>
      <c r="K79" s="21"/>
      <c r="M79" s="84"/>
      <c r="N79" s="85"/>
      <c r="O79" s="85"/>
      <c r="P79" s="85"/>
      <c r="Q79" s="85"/>
      <c r="R79" s="85"/>
      <c r="S79" s="11"/>
      <c r="T79" s="21"/>
      <c r="U79" s="38"/>
      <c r="V79" s="39" t="e">
        <f>bdrate($D79:$D82,E79:E82,$M79:$M82,N79:N82)</f>
        <v>#VALUE!</v>
      </c>
      <c r="W79" s="40" t="e">
        <f>bdrate($D79:$D82,F79:F82,$M79:$M82,O79:O82)</f>
        <v>#VALUE!</v>
      </c>
      <c r="X79" s="40" t="e">
        <f>bdrate($D79:$D82,G79:G82,$M79:$M82,P79:P82)</f>
        <v>#VALUE!</v>
      </c>
      <c r="Y79" s="40" t="e">
        <f>bdrate(D79:D82,J79:J82,M79:M82,S79:S82)</f>
        <v>#VALUE!</v>
      </c>
      <c r="Z79" s="54" t="e">
        <f>bdrateOld($D79:$D82,E79:E82,$M79:$M82,N79:N82)</f>
        <v>#VALUE!</v>
      </c>
      <c r="AA79" s="55" t="e">
        <f>bdrateOld($D79:$D82,F79:F82,$M79:$M82,O79:O82)</f>
        <v>#VALUE!</v>
      </c>
      <c r="AB79" s="56" t="e">
        <f>bdrateOld($D79:$D82,G79:G82,$M79:$M82,P79:P82)</f>
        <v>#VALUE!</v>
      </c>
    </row>
    <row r="80" spans="1:28">
      <c r="A80" s="12"/>
      <c r="B80" s="12"/>
      <c r="C80" s="12">
        <v>27</v>
      </c>
      <c r="D80" s="74"/>
      <c r="E80" s="75"/>
      <c r="F80" s="75"/>
      <c r="G80" s="75"/>
      <c r="H80" s="75"/>
      <c r="I80" s="75"/>
      <c r="J80" s="14"/>
      <c r="K80" s="24"/>
      <c r="M80" s="86"/>
      <c r="N80" s="87"/>
      <c r="O80" s="87"/>
      <c r="P80" s="87"/>
      <c r="Q80" s="87"/>
      <c r="R80" s="87"/>
      <c r="S80" s="14"/>
      <c r="T80" s="24"/>
      <c r="U80" s="38"/>
      <c r="V80" s="43"/>
      <c r="W80" s="44"/>
      <c r="X80" s="44"/>
      <c r="Y80" s="44"/>
      <c r="Z80" s="43"/>
      <c r="AA80" s="44"/>
      <c r="AB80" s="45"/>
    </row>
    <row r="81" spans="1:28">
      <c r="A81" s="12"/>
      <c r="B81" s="12"/>
      <c r="C81" s="12">
        <v>32</v>
      </c>
      <c r="D81" s="74"/>
      <c r="E81" s="75"/>
      <c r="F81" s="75"/>
      <c r="G81" s="75"/>
      <c r="H81" s="75"/>
      <c r="I81" s="75"/>
      <c r="J81" s="14"/>
      <c r="K81" s="24"/>
      <c r="M81" s="86"/>
      <c r="N81" s="87"/>
      <c r="O81" s="87"/>
      <c r="P81" s="87"/>
      <c r="Q81" s="87"/>
      <c r="R81" s="87"/>
      <c r="S81" s="14"/>
      <c r="T81" s="24"/>
      <c r="U81" s="38"/>
      <c r="V81" s="43"/>
      <c r="W81" s="44"/>
      <c r="X81" s="44"/>
      <c r="Y81" s="44"/>
      <c r="Z81" s="43"/>
      <c r="AA81" s="44"/>
      <c r="AB81" s="45"/>
    </row>
    <row r="82" ht="12.15" spans="1:28">
      <c r="A82" s="15"/>
      <c r="B82" s="15"/>
      <c r="C82" s="15">
        <v>37</v>
      </c>
      <c r="D82" s="76"/>
      <c r="E82" s="77"/>
      <c r="F82" s="77"/>
      <c r="G82" s="77"/>
      <c r="H82" s="77"/>
      <c r="I82" s="77"/>
      <c r="J82" s="17"/>
      <c r="K82" s="27"/>
      <c r="M82" s="88"/>
      <c r="N82" s="89"/>
      <c r="O82" s="89"/>
      <c r="P82" s="89"/>
      <c r="Q82" s="89"/>
      <c r="R82" s="89"/>
      <c r="S82" s="17"/>
      <c r="T82" s="27"/>
      <c r="U82" s="38"/>
      <c r="V82" s="47"/>
      <c r="W82" s="48"/>
      <c r="X82" s="48"/>
      <c r="Y82" s="48"/>
      <c r="Z82" s="47"/>
      <c r="AA82" s="48"/>
      <c r="AB82" s="49"/>
    </row>
    <row r="83" spans="1:28">
      <c r="A83" s="9" t="s">
        <v>46</v>
      </c>
      <c r="B83" s="9" t="s">
        <v>47</v>
      </c>
      <c r="C83" s="9">
        <v>22</v>
      </c>
      <c r="D83" s="72">
        <v>4272.93</v>
      </c>
      <c r="E83" s="73">
        <v>39.717</v>
      </c>
      <c r="F83" s="73">
        <v>42.422</v>
      </c>
      <c r="G83" s="73">
        <v>42.894</v>
      </c>
      <c r="H83" s="73">
        <v>6169.476</v>
      </c>
      <c r="I83" s="73">
        <v>38.713</v>
      </c>
      <c r="J83" s="11">
        <f t="shared" ref="J83:J98" si="4">(6*E83+F83+G83)/8</f>
        <v>40.45225</v>
      </c>
      <c r="K83" s="21">
        <f t="shared" ref="K83:K98" si="5">H83/3600</f>
        <v>1.71374333333333</v>
      </c>
      <c r="M83" s="63">
        <v>4272.93</v>
      </c>
      <c r="N83" s="64">
        <v>39.717</v>
      </c>
      <c r="O83" s="64">
        <v>42.422</v>
      </c>
      <c r="P83" s="64">
        <v>42.894</v>
      </c>
      <c r="Q83" s="64">
        <v>6313.114</v>
      </c>
      <c r="R83" s="64">
        <v>40.254</v>
      </c>
      <c r="S83" s="11">
        <f t="shared" ref="S83:S98" si="6">(6*N83+O83+P83)/8</f>
        <v>40.45225</v>
      </c>
      <c r="T83" s="21">
        <f t="shared" ref="T83:T98" si="7">Q83/3600</f>
        <v>1.75364277777778</v>
      </c>
      <c r="U83" s="38"/>
      <c r="V83" s="39">
        <f>bdrate($D83:$D86,E83:E86,$M83:$M86,N83:N86)</f>
        <v>0</v>
      </c>
      <c r="W83" s="40">
        <f>bdrate($D83:$D86,F83:F86,$M83:$M86,O83:O86)</f>
        <v>0</v>
      </c>
      <c r="X83" s="40">
        <f>bdrate($D83:$D86,G83:G86,$M83:$M86,P83:P86)</f>
        <v>0</v>
      </c>
      <c r="Y83" s="40">
        <f>bdrate(D83:D86,J83:J86,M83:M86,S83:S86)</f>
        <v>0</v>
      </c>
      <c r="Z83" s="54">
        <f>bdrateOld($D83:$D86,E83:E86,$M83:$M86,N83:N86)</f>
        <v>0</v>
      </c>
      <c r="AA83" s="55">
        <f>bdrateOld($D83:$D86,F83:F86,$M83:$M86,O83:O86)</f>
        <v>0</v>
      </c>
      <c r="AB83" s="56">
        <f>bdrateOld($D83:$D86,G83:G86,$M83:$M86,P83:P86)</f>
        <v>0</v>
      </c>
    </row>
    <row r="84" spans="1:28">
      <c r="A84" s="12" t="s">
        <v>48</v>
      </c>
      <c r="B84" s="12"/>
      <c r="C84" s="12">
        <v>27</v>
      </c>
      <c r="D84" s="74">
        <v>2126.59</v>
      </c>
      <c r="E84" s="75">
        <v>36.408</v>
      </c>
      <c r="F84" s="75">
        <v>39.754</v>
      </c>
      <c r="G84" s="75">
        <v>39.8</v>
      </c>
      <c r="H84" s="75">
        <v>6006.291</v>
      </c>
      <c r="I84" s="75">
        <v>37.332</v>
      </c>
      <c r="J84" s="14">
        <f t="shared" si="4"/>
        <v>37.25025</v>
      </c>
      <c r="K84" s="24">
        <f t="shared" si="5"/>
        <v>1.66841416666667</v>
      </c>
      <c r="M84" s="66">
        <v>2126.59</v>
      </c>
      <c r="N84" s="67">
        <v>36.408</v>
      </c>
      <c r="O84" s="67">
        <v>39.754</v>
      </c>
      <c r="P84" s="67">
        <v>39.8</v>
      </c>
      <c r="Q84" s="67">
        <v>6149.353</v>
      </c>
      <c r="R84" s="67">
        <v>35.919</v>
      </c>
      <c r="S84" s="14">
        <f t="shared" si="6"/>
        <v>37.25025</v>
      </c>
      <c r="T84" s="24">
        <f t="shared" si="7"/>
        <v>1.70815361111111</v>
      </c>
      <c r="U84" s="38"/>
      <c r="V84" s="43"/>
      <c r="W84" s="44"/>
      <c r="X84" s="44"/>
      <c r="Y84" s="44"/>
      <c r="Z84" s="43"/>
      <c r="AA84" s="44"/>
      <c r="AB84" s="45"/>
    </row>
    <row r="85" spans="1:28">
      <c r="A85" s="12"/>
      <c r="B85" s="12"/>
      <c r="C85" s="12">
        <v>32</v>
      </c>
      <c r="D85" s="74">
        <v>1085.69</v>
      </c>
      <c r="E85" s="75">
        <v>33.425</v>
      </c>
      <c r="F85" s="75">
        <v>37.126</v>
      </c>
      <c r="G85" s="75">
        <v>36.997</v>
      </c>
      <c r="H85" s="75">
        <v>5914.464</v>
      </c>
      <c r="I85" s="75">
        <v>33.267</v>
      </c>
      <c r="J85" s="14">
        <f t="shared" si="4"/>
        <v>34.334125</v>
      </c>
      <c r="K85" s="24">
        <f t="shared" si="5"/>
        <v>1.64290666666667</v>
      </c>
      <c r="M85" s="66">
        <v>1085.69</v>
      </c>
      <c r="N85" s="67">
        <v>33.425</v>
      </c>
      <c r="O85" s="67">
        <v>37.126</v>
      </c>
      <c r="P85" s="67">
        <v>36.997</v>
      </c>
      <c r="Q85" s="67">
        <v>6053.462</v>
      </c>
      <c r="R85" s="67">
        <v>34.036</v>
      </c>
      <c r="S85" s="14">
        <f t="shared" si="6"/>
        <v>34.334125</v>
      </c>
      <c r="T85" s="24">
        <f t="shared" si="7"/>
        <v>1.68151722222222</v>
      </c>
      <c r="U85" s="38"/>
      <c r="V85" s="43"/>
      <c r="W85" s="44"/>
      <c r="X85" s="44"/>
      <c r="Y85" s="44"/>
      <c r="Z85" s="43"/>
      <c r="AA85" s="44"/>
      <c r="AB85" s="45"/>
    </row>
    <row r="86" ht="12.15" spans="1:28">
      <c r="A86" s="12"/>
      <c r="B86" s="15"/>
      <c r="C86" s="15">
        <v>37</v>
      </c>
      <c r="D86" s="76">
        <v>586.29</v>
      </c>
      <c r="E86" s="77">
        <v>30.719</v>
      </c>
      <c r="F86" s="77">
        <v>34.737</v>
      </c>
      <c r="G86" s="77">
        <v>34.471</v>
      </c>
      <c r="H86" s="77">
        <v>5729.824</v>
      </c>
      <c r="I86" s="77">
        <v>32.886</v>
      </c>
      <c r="J86" s="17">
        <f t="shared" si="4"/>
        <v>31.69025</v>
      </c>
      <c r="K86" s="27">
        <f t="shared" si="5"/>
        <v>1.59161777777778</v>
      </c>
      <c r="M86" s="69">
        <v>586.29</v>
      </c>
      <c r="N86" s="70">
        <v>30.719</v>
      </c>
      <c r="O86" s="70">
        <v>34.737</v>
      </c>
      <c r="P86" s="70">
        <v>34.471</v>
      </c>
      <c r="Q86" s="70">
        <v>5838.658</v>
      </c>
      <c r="R86" s="70">
        <v>35.669</v>
      </c>
      <c r="S86" s="17">
        <f t="shared" si="6"/>
        <v>31.69025</v>
      </c>
      <c r="T86" s="27">
        <f t="shared" si="7"/>
        <v>1.62184944444444</v>
      </c>
      <c r="U86" s="38"/>
      <c r="V86" s="47"/>
      <c r="W86" s="48"/>
      <c r="X86" s="48"/>
      <c r="Y86" s="48"/>
      <c r="Z86" s="47"/>
      <c r="AA86" s="48"/>
      <c r="AB86" s="49"/>
    </row>
    <row r="87" spans="1:28">
      <c r="A87" s="12"/>
      <c r="B87" s="9" t="s">
        <v>49</v>
      </c>
      <c r="C87" s="9">
        <v>22</v>
      </c>
      <c r="D87" s="72">
        <v>6133.23</v>
      </c>
      <c r="E87" s="73">
        <v>41.636</v>
      </c>
      <c r="F87" s="73">
        <v>45.249</v>
      </c>
      <c r="G87" s="73">
        <v>45.306</v>
      </c>
      <c r="H87" s="73">
        <v>13171.04</v>
      </c>
      <c r="I87" s="73">
        <v>80.483</v>
      </c>
      <c r="J87" s="11">
        <f t="shared" si="4"/>
        <v>42.546375</v>
      </c>
      <c r="K87" s="21">
        <f t="shared" si="5"/>
        <v>3.65862222222222</v>
      </c>
      <c r="M87" s="63">
        <v>6133.23</v>
      </c>
      <c r="N87" s="64">
        <v>41.636</v>
      </c>
      <c r="O87" s="64">
        <v>45.249</v>
      </c>
      <c r="P87" s="64">
        <v>45.306</v>
      </c>
      <c r="Q87" s="64">
        <v>13621.701</v>
      </c>
      <c r="R87" s="64">
        <v>51.521</v>
      </c>
      <c r="S87" s="11">
        <f t="shared" si="6"/>
        <v>42.546375</v>
      </c>
      <c r="T87" s="21">
        <f t="shared" si="7"/>
        <v>3.78380583333333</v>
      </c>
      <c r="U87" s="38"/>
      <c r="V87" s="39">
        <f>bdrate($D87:$D90,E87:E90,$M87:$M90,N87:N90)</f>
        <v>0</v>
      </c>
      <c r="W87" s="40">
        <f>bdrate($D87:$D90,F87:F90,$M87:$M90,O87:O90)</f>
        <v>0</v>
      </c>
      <c r="X87" s="40">
        <f>bdrate($D87:$D90,G87:G90,$M87:$M90,P87:P90)</f>
        <v>0</v>
      </c>
      <c r="Y87" s="40">
        <f>bdrate(D87:D90,J87:J90,M87:M90,S87:S90)</f>
        <v>0</v>
      </c>
      <c r="Z87" s="54">
        <f>bdrateOld($D87:$D90,E87:E90,$M87:$M90,N87:N90)</f>
        <v>0</v>
      </c>
      <c r="AA87" s="55">
        <f>bdrateOld($D87:$D90,F87:F90,$M87:$M90,O87:O90)</f>
        <v>0</v>
      </c>
      <c r="AB87" s="56">
        <f>bdrateOld($D87:$D90,G87:G90,$M87:$M90,P87:P90)</f>
        <v>0</v>
      </c>
    </row>
    <row r="88" spans="1:28">
      <c r="A88" s="12"/>
      <c r="B88" s="12"/>
      <c r="C88" s="12">
        <v>27</v>
      </c>
      <c r="D88" s="74">
        <v>3143.22</v>
      </c>
      <c r="E88" s="75">
        <v>37.596</v>
      </c>
      <c r="F88" s="75">
        <v>42.385</v>
      </c>
      <c r="G88" s="75">
        <v>42.131</v>
      </c>
      <c r="H88" s="75">
        <v>12078.878</v>
      </c>
      <c r="I88" s="75">
        <v>74.759</v>
      </c>
      <c r="J88" s="14">
        <f t="shared" si="4"/>
        <v>38.7615</v>
      </c>
      <c r="K88" s="24">
        <f t="shared" si="5"/>
        <v>3.35524388888889</v>
      </c>
      <c r="M88" s="66">
        <v>3143.22</v>
      </c>
      <c r="N88" s="67">
        <v>37.596</v>
      </c>
      <c r="O88" s="67">
        <v>42.385</v>
      </c>
      <c r="P88" s="67">
        <v>42.131</v>
      </c>
      <c r="Q88" s="67">
        <v>12456.613</v>
      </c>
      <c r="R88" s="67">
        <v>49.358</v>
      </c>
      <c r="S88" s="14">
        <f t="shared" si="6"/>
        <v>38.7615</v>
      </c>
      <c r="T88" s="24">
        <f t="shared" si="7"/>
        <v>3.46017027777778</v>
      </c>
      <c r="U88" s="38"/>
      <c r="V88" s="43"/>
      <c r="W88" s="44"/>
      <c r="X88" s="44"/>
      <c r="Y88" s="44"/>
      <c r="Z88" s="43"/>
      <c r="AA88" s="44"/>
      <c r="AB88" s="45"/>
    </row>
    <row r="89" spans="1:28">
      <c r="A89" s="12"/>
      <c r="B89" s="12"/>
      <c r="C89" s="12">
        <v>32</v>
      </c>
      <c r="D89" s="74">
        <v>1546.06</v>
      </c>
      <c r="E89" s="75">
        <v>33.757</v>
      </c>
      <c r="F89" s="75">
        <v>39.997</v>
      </c>
      <c r="G89" s="75">
        <v>39.46</v>
      </c>
      <c r="H89" s="75">
        <v>11166.029</v>
      </c>
      <c r="I89" s="75">
        <v>84.031</v>
      </c>
      <c r="J89" s="14">
        <f t="shared" si="4"/>
        <v>35.249875</v>
      </c>
      <c r="K89" s="24">
        <f t="shared" si="5"/>
        <v>3.10167472222222</v>
      </c>
      <c r="M89" s="66">
        <v>1546.06</v>
      </c>
      <c r="N89" s="67">
        <v>33.757</v>
      </c>
      <c r="O89" s="67">
        <v>39.997</v>
      </c>
      <c r="P89" s="67">
        <v>39.46</v>
      </c>
      <c r="Q89" s="67">
        <v>11512.056</v>
      </c>
      <c r="R89" s="67">
        <v>53.1</v>
      </c>
      <c r="S89" s="14">
        <f t="shared" si="6"/>
        <v>35.249875</v>
      </c>
      <c r="T89" s="24">
        <f t="shared" si="7"/>
        <v>3.19779333333333</v>
      </c>
      <c r="U89" s="38"/>
      <c r="V89" s="43"/>
      <c r="W89" s="44"/>
      <c r="X89" s="44"/>
      <c r="Y89" s="44"/>
      <c r="Z89" s="43"/>
      <c r="AA89" s="44"/>
      <c r="AB89" s="45"/>
    </row>
    <row r="90" ht="12.15" spans="1:28">
      <c r="A90" s="12"/>
      <c r="B90" s="15"/>
      <c r="C90" s="15">
        <v>37</v>
      </c>
      <c r="D90" s="76">
        <v>773.3</v>
      </c>
      <c r="E90" s="77">
        <v>30.533</v>
      </c>
      <c r="F90" s="77">
        <v>37.949</v>
      </c>
      <c r="G90" s="77">
        <v>37.11</v>
      </c>
      <c r="H90" s="77">
        <v>10984.995</v>
      </c>
      <c r="I90" s="77">
        <v>74.484</v>
      </c>
      <c r="J90" s="17">
        <f t="shared" si="4"/>
        <v>32.282125</v>
      </c>
      <c r="K90" s="27">
        <f t="shared" si="5"/>
        <v>3.0513875</v>
      </c>
      <c r="M90" s="69">
        <v>773.3</v>
      </c>
      <c r="N90" s="70">
        <v>30.533</v>
      </c>
      <c r="O90" s="70">
        <v>37.949</v>
      </c>
      <c r="P90" s="70">
        <v>37.11</v>
      </c>
      <c r="Q90" s="70">
        <v>11123.351</v>
      </c>
      <c r="R90" s="70">
        <v>56.207</v>
      </c>
      <c r="S90" s="17">
        <f t="shared" si="6"/>
        <v>32.282125</v>
      </c>
      <c r="T90" s="27">
        <f t="shared" si="7"/>
        <v>3.08981972222222</v>
      </c>
      <c r="U90" s="38"/>
      <c r="V90" s="47"/>
      <c r="W90" s="48"/>
      <c r="X90" s="48"/>
      <c r="Y90" s="48"/>
      <c r="Z90" s="47"/>
      <c r="AA90" s="48"/>
      <c r="AB90" s="49"/>
    </row>
    <row r="91" spans="1:28">
      <c r="A91" s="12"/>
      <c r="B91" s="9" t="s">
        <v>50</v>
      </c>
      <c r="C91" s="9">
        <v>22</v>
      </c>
      <c r="D91" s="72">
        <v>1634.07</v>
      </c>
      <c r="E91" s="73">
        <v>45.358</v>
      </c>
      <c r="F91" s="73">
        <v>44.94</v>
      </c>
      <c r="G91" s="73">
        <v>44.994</v>
      </c>
      <c r="H91" s="73">
        <v>4879.646</v>
      </c>
      <c r="I91" s="73">
        <v>28.369</v>
      </c>
      <c r="J91" s="11">
        <f t="shared" si="4"/>
        <v>45.26025</v>
      </c>
      <c r="K91" s="21">
        <f t="shared" si="5"/>
        <v>1.35545722222222</v>
      </c>
      <c r="M91" s="63">
        <v>1634.07</v>
      </c>
      <c r="N91" s="64">
        <v>45.358</v>
      </c>
      <c r="O91" s="64">
        <v>44.94</v>
      </c>
      <c r="P91" s="64">
        <v>44.994</v>
      </c>
      <c r="Q91" s="64">
        <v>5010.902</v>
      </c>
      <c r="R91" s="64">
        <v>38.067</v>
      </c>
      <c r="S91" s="11">
        <f t="shared" si="6"/>
        <v>45.26025</v>
      </c>
      <c r="T91" s="21">
        <f t="shared" si="7"/>
        <v>1.39191722222222</v>
      </c>
      <c r="U91" s="38"/>
      <c r="V91" s="39">
        <f>bdrate($D91:$D94,E91:E94,$M91:$M94,N91:N94)</f>
        <v>0</v>
      </c>
      <c r="W91" s="40">
        <f>bdrate($D91:$D94,F91:F94,$M91:$M94,O91:O94)</f>
        <v>0</v>
      </c>
      <c r="X91" s="40">
        <f>bdrate($D91:$D94,G91:G94,$M91:$M94,P91:P94)</f>
        <v>0</v>
      </c>
      <c r="Y91" s="40">
        <f>bdrate(D91:D94,J91:J94,M91:M94,S91:S94)</f>
        <v>0</v>
      </c>
      <c r="Z91" s="54">
        <f>bdrateOld($D91:$D94,E91:E94,$M91:$M94,N91:N94)</f>
        <v>0</v>
      </c>
      <c r="AA91" s="55">
        <f>bdrateOld($D91:$D94,F91:F94,$M91:$M94,O91:O94)</f>
        <v>0</v>
      </c>
      <c r="AB91" s="56">
        <f>bdrateOld($D91:$D94,G91:G94,$M91:$M94,P91:P94)</f>
        <v>0</v>
      </c>
    </row>
    <row r="92" spans="1:28">
      <c r="A92" s="12"/>
      <c r="B92" s="12"/>
      <c r="C92" s="12">
        <v>27</v>
      </c>
      <c r="D92" s="74">
        <v>1214.27</v>
      </c>
      <c r="E92" s="75">
        <v>40.944</v>
      </c>
      <c r="F92" s="75">
        <v>41.137</v>
      </c>
      <c r="G92" s="75">
        <v>41.112</v>
      </c>
      <c r="H92" s="75">
        <v>4773.925</v>
      </c>
      <c r="I92" s="75">
        <v>26.905</v>
      </c>
      <c r="J92" s="14">
        <f t="shared" si="4"/>
        <v>40.989125</v>
      </c>
      <c r="K92" s="24">
        <f t="shared" si="5"/>
        <v>1.32609027777778</v>
      </c>
      <c r="M92" s="66">
        <v>1214.27</v>
      </c>
      <c r="N92" s="67">
        <v>40.944</v>
      </c>
      <c r="O92" s="67">
        <v>41.137</v>
      </c>
      <c r="P92" s="67">
        <v>41.112</v>
      </c>
      <c r="Q92" s="67">
        <v>4843.691</v>
      </c>
      <c r="R92" s="67">
        <v>39.068</v>
      </c>
      <c r="S92" s="14">
        <f t="shared" si="6"/>
        <v>40.989125</v>
      </c>
      <c r="T92" s="24">
        <f t="shared" si="7"/>
        <v>1.34546972222222</v>
      </c>
      <c r="U92" s="38"/>
      <c r="V92" s="43"/>
      <c r="W92" s="44"/>
      <c r="X92" s="44"/>
      <c r="Y92" s="44"/>
      <c r="Z92" s="43"/>
      <c r="AA92" s="44"/>
      <c r="AB92" s="45"/>
    </row>
    <row r="93" spans="1:28">
      <c r="A93" s="12"/>
      <c r="B93" s="12"/>
      <c r="C93" s="12">
        <v>32</v>
      </c>
      <c r="D93" s="74">
        <v>883.53</v>
      </c>
      <c r="E93" s="75">
        <v>36.478</v>
      </c>
      <c r="F93" s="75">
        <v>38.771</v>
      </c>
      <c r="G93" s="75">
        <v>38.791</v>
      </c>
      <c r="H93" s="75">
        <v>4685.464</v>
      </c>
      <c r="I93" s="75">
        <v>29.544</v>
      </c>
      <c r="J93" s="14">
        <f t="shared" si="4"/>
        <v>37.05375</v>
      </c>
      <c r="K93" s="24">
        <f t="shared" si="5"/>
        <v>1.30151777777778</v>
      </c>
      <c r="M93" s="66">
        <v>883.53</v>
      </c>
      <c r="N93" s="67">
        <v>36.478</v>
      </c>
      <c r="O93" s="67">
        <v>38.771</v>
      </c>
      <c r="P93" s="67">
        <v>38.791</v>
      </c>
      <c r="Q93" s="67">
        <v>4809.08</v>
      </c>
      <c r="R93" s="67">
        <v>39.972</v>
      </c>
      <c r="S93" s="14">
        <f t="shared" si="6"/>
        <v>37.05375</v>
      </c>
      <c r="T93" s="24">
        <f t="shared" si="7"/>
        <v>1.33585555555556</v>
      </c>
      <c r="U93" s="38"/>
      <c r="V93" s="43"/>
      <c r="W93" s="44"/>
      <c r="X93" s="44"/>
      <c r="Y93" s="44"/>
      <c r="Z93" s="43"/>
      <c r="AA93" s="44"/>
      <c r="AB93" s="45"/>
    </row>
    <row r="94" ht="12.15" spans="1:28">
      <c r="A94" s="12"/>
      <c r="B94" s="15"/>
      <c r="C94" s="15">
        <v>37</v>
      </c>
      <c r="D94" s="76">
        <v>636.25</v>
      </c>
      <c r="E94" s="77">
        <v>31.934</v>
      </c>
      <c r="F94" s="77">
        <v>37.477</v>
      </c>
      <c r="G94" s="77">
        <v>36.905</v>
      </c>
      <c r="H94" s="77">
        <v>4731.174</v>
      </c>
      <c r="I94" s="77">
        <v>34.407</v>
      </c>
      <c r="J94" s="17">
        <f t="shared" si="4"/>
        <v>33.24825</v>
      </c>
      <c r="K94" s="27">
        <f t="shared" si="5"/>
        <v>1.314215</v>
      </c>
      <c r="M94" s="69">
        <v>636.25</v>
      </c>
      <c r="N94" s="70">
        <v>31.934</v>
      </c>
      <c r="O94" s="70">
        <v>37.477</v>
      </c>
      <c r="P94" s="70">
        <v>36.905</v>
      </c>
      <c r="Q94" s="70">
        <v>4791.753</v>
      </c>
      <c r="R94" s="70">
        <v>35.193</v>
      </c>
      <c r="S94" s="17">
        <f t="shared" si="6"/>
        <v>33.24825</v>
      </c>
      <c r="T94" s="27">
        <f t="shared" si="7"/>
        <v>1.3310425</v>
      </c>
      <c r="U94" s="38"/>
      <c r="V94" s="47"/>
      <c r="W94" s="48"/>
      <c r="X94" s="48"/>
      <c r="Y94" s="48"/>
      <c r="Z94" s="47"/>
      <c r="AA94" s="48"/>
      <c r="AB94" s="49"/>
    </row>
    <row r="95" spans="1:28">
      <c r="A95" s="12"/>
      <c r="B95" s="9" t="s">
        <v>51</v>
      </c>
      <c r="C95" s="9">
        <v>22</v>
      </c>
      <c r="D95" s="72">
        <v>987.73</v>
      </c>
      <c r="E95" s="73">
        <v>48.802</v>
      </c>
      <c r="F95" s="73">
        <v>52.31</v>
      </c>
      <c r="G95" s="73">
        <v>53.355</v>
      </c>
      <c r="H95" s="73">
        <v>7387.795</v>
      </c>
      <c r="I95" s="73">
        <v>110.446</v>
      </c>
      <c r="J95" s="11">
        <f t="shared" si="4"/>
        <v>49.809625</v>
      </c>
      <c r="K95" s="21">
        <f t="shared" si="5"/>
        <v>2.05216527777778</v>
      </c>
      <c r="M95" s="63">
        <v>987.73</v>
      </c>
      <c r="N95" s="64">
        <v>48.802</v>
      </c>
      <c r="O95" s="64">
        <v>52.31</v>
      </c>
      <c r="P95" s="64">
        <v>53.355</v>
      </c>
      <c r="Q95" s="64">
        <v>7643.747</v>
      </c>
      <c r="R95" s="64">
        <v>56.194</v>
      </c>
      <c r="S95" s="11">
        <f t="shared" si="6"/>
        <v>49.809625</v>
      </c>
      <c r="T95" s="21">
        <f t="shared" si="7"/>
        <v>2.12326305555556</v>
      </c>
      <c r="U95" s="38"/>
      <c r="V95" s="39">
        <f>bdrate($D95:$D98,E95:E98,$M95:$M98,N95:N98)</f>
        <v>0</v>
      </c>
      <c r="W95" s="40">
        <f>bdrate($D95:$D98,F95:F98,$M95:$M98,O95:O98)</f>
        <v>0</v>
      </c>
      <c r="X95" s="40">
        <f>bdrate($D95:$D98,G95:G98,$M95:$M98,P95:P98)</f>
        <v>0</v>
      </c>
      <c r="Y95" s="40">
        <f>bdrate(D95:D98,J95:J98,M95:M98,S95:S98)</f>
        <v>0</v>
      </c>
      <c r="Z95" s="54">
        <f>bdrateOld($D95:$D98,E95:E98,$M95:$M98,N95:N98)</f>
        <v>0</v>
      </c>
      <c r="AA95" s="55">
        <f>bdrateOld($D95:$D98,F95:F98,$M95:$M98,O95:O98)</f>
        <v>0</v>
      </c>
      <c r="AB95" s="56">
        <f>bdrateOld($D95:$D98,G95:G98,$M95:$M98,P95:P98)</f>
        <v>0</v>
      </c>
    </row>
    <row r="96" spans="1:28">
      <c r="A96" s="12"/>
      <c r="B96" s="12"/>
      <c r="C96" s="12">
        <v>27</v>
      </c>
      <c r="D96" s="74">
        <v>624.4</v>
      </c>
      <c r="E96" s="75">
        <v>45.198</v>
      </c>
      <c r="F96" s="75">
        <v>48.703</v>
      </c>
      <c r="G96" s="75">
        <v>49.917</v>
      </c>
      <c r="H96" s="75">
        <v>7361.914</v>
      </c>
      <c r="I96" s="75">
        <v>83.136</v>
      </c>
      <c r="J96" s="14">
        <f t="shared" si="4"/>
        <v>46.226</v>
      </c>
      <c r="K96" s="24">
        <f t="shared" si="5"/>
        <v>2.04497611111111</v>
      </c>
      <c r="M96" s="66">
        <v>624.4</v>
      </c>
      <c r="N96" s="67">
        <v>45.198</v>
      </c>
      <c r="O96" s="67">
        <v>48.703</v>
      </c>
      <c r="P96" s="67">
        <v>49.917</v>
      </c>
      <c r="Q96" s="67">
        <v>7477.768</v>
      </c>
      <c r="R96" s="67">
        <v>57.306</v>
      </c>
      <c r="S96" s="14">
        <f t="shared" si="6"/>
        <v>46.226</v>
      </c>
      <c r="T96" s="24">
        <f t="shared" si="7"/>
        <v>2.07715777777778</v>
      </c>
      <c r="U96" s="38"/>
      <c r="V96" s="43"/>
      <c r="W96" s="44"/>
      <c r="X96" s="44"/>
      <c r="Y96" s="44"/>
      <c r="Z96" s="43"/>
      <c r="AA96" s="44"/>
      <c r="AB96" s="45"/>
    </row>
    <row r="97" spans="1:28">
      <c r="A97" s="12"/>
      <c r="B97" s="12"/>
      <c r="C97" s="12">
        <v>32</v>
      </c>
      <c r="D97" s="74">
        <v>398.15</v>
      </c>
      <c r="E97" s="75">
        <v>41.549</v>
      </c>
      <c r="F97" s="75">
        <v>45.687</v>
      </c>
      <c r="G97" s="75">
        <v>47.036</v>
      </c>
      <c r="H97" s="75">
        <v>7048.263</v>
      </c>
      <c r="I97" s="75">
        <v>80.59</v>
      </c>
      <c r="J97" s="14">
        <f t="shared" si="4"/>
        <v>42.752125</v>
      </c>
      <c r="K97" s="24">
        <f t="shared" si="5"/>
        <v>1.95785083333333</v>
      </c>
      <c r="M97" s="66">
        <v>398.15</v>
      </c>
      <c r="N97" s="67">
        <v>41.549</v>
      </c>
      <c r="O97" s="67">
        <v>45.687</v>
      </c>
      <c r="P97" s="67">
        <v>47.036</v>
      </c>
      <c r="Q97" s="67">
        <v>7310.932</v>
      </c>
      <c r="R97" s="67">
        <v>75.625</v>
      </c>
      <c r="S97" s="14">
        <f t="shared" si="6"/>
        <v>42.752125</v>
      </c>
      <c r="T97" s="24">
        <f t="shared" si="7"/>
        <v>2.03081444444444</v>
      </c>
      <c r="U97" s="38"/>
      <c r="V97" s="43"/>
      <c r="W97" s="44"/>
      <c r="X97" s="44"/>
      <c r="Y97" s="44"/>
      <c r="Z97" s="43"/>
      <c r="AA97" s="44"/>
      <c r="AB97" s="45"/>
    </row>
    <row r="98" ht="12.15" spans="1:28">
      <c r="A98" s="15"/>
      <c r="B98" s="15"/>
      <c r="C98" s="15">
        <v>37</v>
      </c>
      <c r="D98" s="76">
        <v>262.63</v>
      </c>
      <c r="E98" s="77">
        <v>37.938</v>
      </c>
      <c r="F98" s="77">
        <v>42.803</v>
      </c>
      <c r="G98" s="77">
        <v>44.612</v>
      </c>
      <c r="H98" s="77">
        <v>7012.339</v>
      </c>
      <c r="I98" s="77">
        <v>66.043</v>
      </c>
      <c r="J98" s="17">
        <f t="shared" si="4"/>
        <v>39.380375</v>
      </c>
      <c r="K98" s="27">
        <f t="shared" si="5"/>
        <v>1.94787194444444</v>
      </c>
      <c r="M98" s="69">
        <v>262.63</v>
      </c>
      <c r="N98" s="70">
        <v>37.938</v>
      </c>
      <c r="O98" s="70">
        <v>42.803</v>
      </c>
      <c r="P98" s="70">
        <v>44.612</v>
      </c>
      <c r="Q98" s="70">
        <v>7294.69</v>
      </c>
      <c r="R98" s="70">
        <v>70.997</v>
      </c>
      <c r="S98" s="17">
        <f t="shared" si="6"/>
        <v>39.380375</v>
      </c>
      <c r="T98" s="27">
        <f t="shared" si="7"/>
        <v>2.02630277777778</v>
      </c>
      <c r="U98" s="38"/>
      <c r="V98" s="47"/>
      <c r="W98" s="48"/>
      <c r="X98" s="48"/>
      <c r="Y98" s="48"/>
      <c r="Z98" s="47"/>
      <c r="AA98" s="48"/>
      <c r="AB98" s="49"/>
    </row>
    <row r="99" spans="2:28">
      <c r="B99" s="1" t="s">
        <v>17</v>
      </c>
      <c r="V99" s="39">
        <f>AVERAGE(V3,V7,V11,V15)</f>
        <v>-2.25938438306039e-5</v>
      </c>
      <c r="W99" s="39">
        <f t="shared" ref="W99:AB99" si="8">AVERAGE(W3,W7,W11,W15)</f>
        <v>-0.000100130927843028</v>
      </c>
      <c r="X99" s="39">
        <f t="shared" si="8"/>
        <v>-0.000129303730565716</v>
      </c>
      <c r="Y99" s="39">
        <f t="shared" si="8"/>
        <v>-3.37926225474627e-5</v>
      </c>
      <c r="Z99" s="39">
        <f t="shared" si="8"/>
        <v>-3.85095096641919e-5</v>
      </c>
      <c r="AA99" s="39">
        <f t="shared" si="8"/>
        <v>-9.04813855256981e-5</v>
      </c>
      <c r="AB99" s="39">
        <f t="shared" si="8"/>
        <v>-0.000111247039056517</v>
      </c>
    </row>
    <row r="100" spans="2:28">
      <c r="B100" s="1" t="s">
        <v>23</v>
      </c>
      <c r="V100" s="54">
        <f t="shared" ref="V100:AB100" si="9">AVERAGE(V19,V23,V27,V31,V35)</f>
        <v>0</v>
      </c>
      <c r="W100" s="55">
        <f t="shared" si="9"/>
        <v>0</v>
      </c>
      <c r="X100" s="55">
        <f t="shared" si="9"/>
        <v>0</v>
      </c>
      <c r="Y100" s="55">
        <f t="shared" si="9"/>
        <v>0</v>
      </c>
      <c r="Z100" s="54">
        <f t="shared" si="9"/>
        <v>0</v>
      </c>
      <c r="AA100" s="55">
        <f t="shared" si="9"/>
        <v>0</v>
      </c>
      <c r="AB100" s="56">
        <f t="shared" si="9"/>
        <v>0</v>
      </c>
    </row>
    <row r="101" spans="2:28">
      <c r="B101" s="1" t="s">
        <v>30</v>
      </c>
      <c r="V101" s="54">
        <f t="shared" ref="V101:AB101" si="10">AVERAGE(V39,V43,V47,V51)</f>
        <v>0</v>
      </c>
      <c r="W101" s="55">
        <f t="shared" si="10"/>
        <v>0</v>
      </c>
      <c r="X101" s="55">
        <f t="shared" si="10"/>
        <v>0</v>
      </c>
      <c r="Y101" s="55">
        <f t="shared" si="10"/>
        <v>0</v>
      </c>
      <c r="Z101" s="54">
        <f t="shared" si="10"/>
        <v>0</v>
      </c>
      <c r="AA101" s="55">
        <f t="shared" si="10"/>
        <v>0</v>
      </c>
      <c r="AB101" s="56">
        <f t="shared" si="10"/>
        <v>0</v>
      </c>
    </row>
    <row r="102" spans="2:28">
      <c r="B102" s="1" t="s">
        <v>36</v>
      </c>
      <c r="V102" s="54">
        <f t="shared" ref="V102:AB102" si="11">AVERAGE(V55,V59,V63,V67)</f>
        <v>0</v>
      </c>
      <c r="W102" s="55">
        <f t="shared" si="11"/>
        <v>0</v>
      </c>
      <c r="X102" s="55">
        <f t="shared" si="11"/>
        <v>0</v>
      </c>
      <c r="Y102" s="55">
        <f t="shared" si="11"/>
        <v>0</v>
      </c>
      <c r="Z102" s="54">
        <f t="shared" si="11"/>
        <v>0</v>
      </c>
      <c r="AA102" s="55">
        <f t="shared" si="11"/>
        <v>0</v>
      </c>
      <c r="AB102" s="56">
        <f t="shared" si="11"/>
        <v>0</v>
      </c>
    </row>
    <row r="103" spans="2:28">
      <c r="B103" s="1" t="s">
        <v>52</v>
      </c>
      <c r="V103" s="54" t="e">
        <f>AVERAGE(V71,V75,V79)</f>
        <v>#VALUE!</v>
      </c>
      <c r="W103" s="55" t="e">
        <f t="shared" ref="W103:AB103" si="12">AVERAGE(W71,W75,W79)</f>
        <v>#VALUE!</v>
      </c>
      <c r="X103" s="55" t="e">
        <f t="shared" si="12"/>
        <v>#VALUE!</v>
      </c>
      <c r="Y103" s="56" t="e">
        <f t="shared" si="12"/>
        <v>#VALUE!</v>
      </c>
      <c r="Z103" s="54" t="e">
        <f t="shared" si="12"/>
        <v>#VALUE!</v>
      </c>
      <c r="AA103" s="55" t="e">
        <f t="shared" si="12"/>
        <v>#VALUE!</v>
      </c>
      <c r="AB103" s="56" t="e">
        <f t="shared" si="12"/>
        <v>#VALUE!</v>
      </c>
    </row>
    <row r="104" ht="12.15" spans="2:28">
      <c r="B104" s="1" t="s">
        <v>46</v>
      </c>
      <c r="V104" s="54">
        <f>AVERAGE(V83,V87,V91,V95)</f>
        <v>0</v>
      </c>
      <c r="W104" s="55">
        <f t="shared" ref="W104:AB104" si="13">AVERAGE(W83,W87,W91,W95)</f>
        <v>0</v>
      </c>
      <c r="X104" s="55">
        <f t="shared" si="13"/>
        <v>0</v>
      </c>
      <c r="Y104" s="56">
        <f t="shared" si="13"/>
        <v>0</v>
      </c>
      <c r="Z104" s="54">
        <f t="shared" si="13"/>
        <v>0</v>
      </c>
      <c r="AA104" s="55">
        <f t="shared" si="13"/>
        <v>0</v>
      </c>
      <c r="AB104" s="56">
        <f t="shared" si="13"/>
        <v>0</v>
      </c>
    </row>
    <row r="105" ht="12.15" spans="1:28">
      <c r="A105" s="4"/>
      <c r="B105" s="5" t="s">
        <v>53</v>
      </c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8">
        <f>AVERAGE(V3:V70,V83:V98)</f>
        <v>-4.30358930106741e-6</v>
      </c>
      <c r="W105" s="58">
        <f t="shared" ref="W105:AB105" si="14">AVERAGE(W3:W70,W83:W98)</f>
        <v>-1.90725576843864e-5</v>
      </c>
      <c r="X105" s="58">
        <f t="shared" si="14"/>
        <v>-2.46292820125174e-5</v>
      </c>
      <c r="Y105" s="58">
        <f t="shared" si="14"/>
        <v>-6.43669000904052e-6</v>
      </c>
      <c r="Z105" s="58">
        <f t="shared" si="14"/>
        <v>-7.33514469794131e-6</v>
      </c>
      <c r="AA105" s="58">
        <f t="shared" si="14"/>
        <v>-1.72345496239425e-5</v>
      </c>
      <c r="AB105" s="58">
        <f t="shared" si="14"/>
        <v>-2.11899122012413e-5</v>
      </c>
    </row>
    <row r="106" spans="2:20">
      <c r="B106" s="1" t="s">
        <v>54</v>
      </c>
      <c r="I106" s="57">
        <f>GEOMEAN(I3:I98)</f>
        <v>44.6243890504261</v>
      </c>
      <c r="J106" s="57"/>
      <c r="K106" s="57">
        <f>GEOMEAN(K3:K98)</f>
        <v>2.2426613180009</v>
      </c>
      <c r="R106" s="57">
        <f>GEOMEAN(R3:R98)</f>
        <v>41.7483755286605</v>
      </c>
      <c r="S106" s="57"/>
      <c r="T106" s="57">
        <f>GEOMEAN(T3:T98)</f>
        <v>2.29042366838563</v>
      </c>
    </row>
    <row r="107" spans="2:20">
      <c r="B107" s="1" t="s">
        <v>55</v>
      </c>
      <c r="R107" s="60">
        <f>R106/I106</f>
        <v>0.93555063535961</v>
      </c>
      <c r="S107" s="60"/>
      <c r="T107" s="60">
        <f>T106/K106</f>
        <v>1.02129717492399</v>
      </c>
    </row>
    <row r="108" spans="2:20">
      <c r="B108" s="1" t="s">
        <v>56</v>
      </c>
      <c r="I108" s="57"/>
      <c r="J108" s="57"/>
      <c r="K108" s="57">
        <f>SUM(K3:K98)</f>
        <v>303.438020555556</v>
      </c>
      <c r="R108" s="57">
        <f>SUM(R3:R98)/3600</f>
        <v>1.48048805555556</v>
      </c>
      <c r="S108" s="57"/>
      <c r="T108" s="57">
        <f>SUM(T3:T98)</f>
        <v>310.971909722222</v>
      </c>
    </row>
    <row r="109" spans="20:25">
      <c r="T109" s="1" t="s">
        <v>57</v>
      </c>
      <c r="V109" s="71">
        <f>AVERAGE(V3:V70)</f>
        <v>-5.31619854837739e-6</v>
      </c>
      <c r="W109" s="71">
        <f t="shared" ref="W109:Y109" si="15">AVERAGE(W3:W70)</f>
        <v>-2.35602183160067e-5</v>
      </c>
      <c r="X109" s="71">
        <f t="shared" si="15"/>
        <v>-3.04244071919332e-5</v>
      </c>
      <c r="Y109" s="71">
        <f t="shared" si="15"/>
        <v>-7.95120530528535e-6</v>
      </c>
    </row>
  </sheetData>
  <mergeCells count="4">
    <mergeCell ref="D1:K1"/>
    <mergeCell ref="M1:T1"/>
    <mergeCell ref="V1:X1"/>
    <mergeCell ref="Z1:AB1"/>
  </mergeCells>
  <conditionalFormatting sqref="V3">
    <cfRule type="cellIs" dxfId="0" priority="35" operator="greaterThan">
      <formula>0.03</formula>
    </cfRule>
    <cfRule type="cellIs" dxfId="1" priority="36" stopIfTrue="1" operator="lessThan">
      <formula>-0.03</formula>
    </cfRule>
  </conditionalFormatting>
  <conditionalFormatting sqref="Z3">
    <cfRule type="cellIs" dxfId="0" priority="173" operator="greaterThan">
      <formula>0.03</formula>
    </cfRule>
    <cfRule type="cellIs" dxfId="1" priority="174" stopIfTrue="1" operator="lessThan">
      <formula>-0.03</formula>
    </cfRule>
  </conditionalFormatting>
  <conditionalFormatting sqref="AA3">
    <cfRule type="cellIs" dxfId="0" priority="171" operator="greaterThan">
      <formula>0.03</formula>
    </cfRule>
    <cfRule type="cellIs" dxfId="1" priority="172" stopIfTrue="1" operator="lessThan">
      <formula>-0.03</formula>
    </cfRule>
  </conditionalFormatting>
  <conditionalFormatting sqref="AB3">
    <cfRule type="cellIs" dxfId="0" priority="169" operator="greaterThan">
      <formula>0.03</formula>
    </cfRule>
    <cfRule type="cellIs" dxfId="1" priority="170" stopIfTrue="1" operator="lessThan">
      <formula>-0.03</formula>
    </cfRule>
  </conditionalFormatting>
  <conditionalFormatting sqref="Z6:AA6">
    <cfRule type="cellIs" dxfId="0" priority="69" operator="greaterThan">
      <formula>0.03</formula>
    </cfRule>
    <cfRule type="cellIs" dxfId="1" priority="70" stopIfTrue="1" operator="lessThan">
      <formula>-0.03</formula>
    </cfRule>
  </conditionalFormatting>
  <conditionalFormatting sqref="Z7">
    <cfRule type="cellIs" dxfId="0" priority="167" operator="greaterThan">
      <formula>0.03</formula>
    </cfRule>
    <cfRule type="cellIs" dxfId="1" priority="168" stopIfTrue="1" operator="lessThan">
      <formula>-0.03</formula>
    </cfRule>
  </conditionalFormatting>
  <conditionalFormatting sqref="AA7">
    <cfRule type="cellIs" dxfId="0" priority="165" operator="greaterThan">
      <formula>0.03</formula>
    </cfRule>
    <cfRule type="cellIs" dxfId="1" priority="166" stopIfTrue="1" operator="lessThan">
      <formula>-0.03</formula>
    </cfRule>
  </conditionalFormatting>
  <conditionalFormatting sqref="AB7">
    <cfRule type="cellIs" dxfId="0" priority="163" operator="greaterThan">
      <formula>0.03</formula>
    </cfRule>
    <cfRule type="cellIs" dxfId="1" priority="164" stopIfTrue="1" operator="lessThan">
      <formula>-0.03</formula>
    </cfRule>
  </conditionalFormatting>
  <conditionalFormatting sqref="Z10:AA10">
    <cfRule type="cellIs" dxfId="0" priority="67" operator="greaterThan">
      <formula>0.03</formula>
    </cfRule>
    <cfRule type="cellIs" dxfId="1" priority="68" stopIfTrue="1" operator="lessThan">
      <formula>-0.03</formula>
    </cfRule>
  </conditionalFormatting>
  <conditionalFormatting sqref="Z11">
    <cfRule type="cellIs" dxfId="0" priority="161" operator="greaterThan">
      <formula>0.03</formula>
    </cfRule>
    <cfRule type="cellIs" dxfId="1" priority="162" stopIfTrue="1" operator="lessThan">
      <formula>-0.03</formula>
    </cfRule>
  </conditionalFormatting>
  <conditionalFormatting sqref="AA11">
    <cfRule type="cellIs" dxfId="0" priority="159" operator="greaterThan">
      <formula>0.03</formula>
    </cfRule>
    <cfRule type="cellIs" dxfId="1" priority="160" stopIfTrue="1" operator="lessThan">
      <formula>-0.03</formula>
    </cfRule>
  </conditionalFormatting>
  <conditionalFormatting sqref="AB11">
    <cfRule type="cellIs" dxfId="0" priority="157" operator="greaterThan">
      <formula>0.03</formula>
    </cfRule>
    <cfRule type="cellIs" dxfId="1" priority="158" stopIfTrue="1" operator="lessThan">
      <formula>-0.03</formula>
    </cfRule>
  </conditionalFormatting>
  <conditionalFormatting sqref="Z14:AA14">
    <cfRule type="cellIs" dxfId="0" priority="65" operator="greaterThan">
      <formula>0.03</formula>
    </cfRule>
    <cfRule type="cellIs" dxfId="1" priority="66" stopIfTrue="1" operator="lessThan">
      <formula>-0.03</formula>
    </cfRule>
  </conditionalFormatting>
  <conditionalFormatting sqref="Z15">
    <cfRule type="cellIs" dxfId="0" priority="155" operator="greaterThan">
      <formula>0.03</formula>
    </cfRule>
    <cfRule type="cellIs" dxfId="1" priority="156" stopIfTrue="1" operator="lessThan">
      <formula>-0.03</formula>
    </cfRule>
  </conditionalFormatting>
  <conditionalFormatting sqref="AA15">
    <cfRule type="cellIs" dxfId="0" priority="153" operator="greaterThan">
      <formula>0.03</formula>
    </cfRule>
    <cfRule type="cellIs" dxfId="1" priority="154" stopIfTrue="1" operator="lessThan">
      <formula>-0.03</formula>
    </cfRule>
  </conditionalFormatting>
  <conditionalFormatting sqref="AB15">
    <cfRule type="cellIs" dxfId="0" priority="151" operator="greaterThan">
      <formula>0.03</formula>
    </cfRule>
    <cfRule type="cellIs" dxfId="1" priority="152" stopIfTrue="1" operator="lessThan">
      <formula>-0.03</formula>
    </cfRule>
  </conditionalFormatting>
  <conditionalFormatting sqref="Z18:AA18">
    <cfRule type="cellIs" dxfId="0" priority="63" operator="greaterThan">
      <formula>0.03</formula>
    </cfRule>
    <cfRule type="cellIs" dxfId="1" priority="64" stopIfTrue="1" operator="lessThan">
      <formula>-0.03</formula>
    </cfRule>
  </conditionalFormatting>
  <conditionalFormatting sqref="Z19">
    <cfRule type="cellIs" dxfId="0" priority="149" operator="greaterThan">
      <formula>0.03</formula>
    </cfRule>
    <cfRule type="cellIs" dxfId="1" priority="150" stopIfTrue="1" operator="lessThan">
      <formula>-0.03</formula>
    </cfRule>
  </conditionalFormatting>
  <conditionalFormatting sqref="AA19">
    <cfRule type="cellIs" dxfId="0" priority="147" operator="greaterThan">
      <formula>0.03</formula>
    </cfRule>
    <cfRule type="cellIs" dxfId="1" priority="148" stopIfTrue="1" operator="lessThan">
      <formula>-0.03</formula>
    </cfRule>
  </conditionalFormatting>
  <conditionalFormatting sqref="AB19">
    <cfRule type="cellIs" dxfId="0" priority="145" operator="greaterThan">
      <formula>0.03</formula>
    </cfRule>
    <cfRule type="cellIs" dxfId="1" priority="146" stopIfTrue="1" operator="lessThan">
      <formula>-0.03</formula>
    </cfRule>
  </conditionalFormatting>
  <conditionalFormatting sqref="Z22:AA22">
    <cfRule type="cellIs" dxfId="0" priority="61" operator="greaterThan">
      <formula>0.03</formula>
    </cfRule>
    <cfRule type="cellIs" dxfId="1" priority="62" stopIfTrue="1" operator="lessThan">
      <formula>-0.03</formula>
    </cfRule>
  </conditionalFormatting>
  <conditionalFormatting sqref="Z23">
    <cfRule type="cellIs" dxfId="0" priority="143" operator="greaterThan">
      <formula>0.03</formula>
    </cfRule>
    <cfRule type="cellIs" dxfId="1" priority="144" stopIfTrue="1" operator="lessThan">
      <formula>-0.03</formula>
    </cfRule>
  </conditionalFormatting>
  <conditionalFormatting sqref="AA23">
    <cfRule type="cellIs" dxfId="0" priority="141" operator="greaterThan">
      <formula>0.03</formula>
    </cfRule>
    <cfRule type="cellIs" dxfId="1" priority="142" stopIfTrue="1" operator="lessThan">
      <formula>-0.03</formula>
    </cfRule>
  </conditionalFormatting>
  <conditionalFormatting sqref="AB23">
    <cfRule type="cellIs" dxfId="0" priority="139" operator="greaterThan">
      <formula>0.03</formula>
    </cfRule>
    <cfRule type="cellIs" dxfId="1" priority="140" stopIfTrue="1" operator="lessThan">
      <formula>-0.03</formula>
    </cfRule>
  </conditionalFormatting>
  <conditionalFormatting sqref="Z26:AA26">
    <cfRule type="cellIs" dxfId="0" priority="59" operator="greaterThan">
      <formula>0.03</formula>
    </cfRule>
    <cfRule type="cellIs" dxfId="1" priority="60" stopIfTrue="1" operator="lessThan">
      <formula>-0.03</formula>
    </cfRule>
  </conditionalFormatting>
  <conditionalFormatting sqref="Z27">
    <cfRule type="cellIs" dxfId="0" priority="137" operator="greaterThan">
      <formula>0.03</formula>
    </cfRule>
    <cfRule type="cellIs" dxfId="1" priority="138" stopIfTrue="1" operator="lessThan">
      <formula>-0.03</formula>
    </cfRule>
  </conditionalFormatting>
  <conditionalFormatting sqref="AA27">
    <cfRule type="cellIs" dxfId="0" priority="135" operator="greaterThan">
      <formula>0.03</formula>
    </cfRule>
    <cfRule type="cellIs" dxfId="1" priority="136" stopIfTrue="1" operator="lessThan">
      <formula>-0.03</formula>
    </cfRule>
  </conditionalFormatting>
  <conditionalFormatting sqref="AB27">
    <cfRule type="cellIs" dxfId="0" priority="133" operator="greaterThan">
      <formula>0.03</formula>
    </cfRule>
    <cfRule type="cellIs" dxfId="1" priority="134" stopIfTrue="1" operator="lessThan">
      <formula>-0.03</formula>
    </cfRule>
  </conditionalFormatting>
  <conditionalFormatting sqref="Z30:AA30">
    <cfRule type="cellIs" dxfId="0" priority="57" operator="greaterThan">
      <formula>0.03</formula>
    </cfRule>
    <cfRule type="cellIs" dxfId="1" priority="58" stopIfTrue="1" operator="lessThan">
      <formula>-0.03</formula>
    </cfRule>
  </conditionalFormatting>
  <conditionalFormatting sqref="Z31">
    <cfRule type="cellIs" dxfId="0" priority="131" operator="greaterThan">
      <formula>0.03</formula>
    </cfRule>
    <cfRule type="cellIs" dxfId="1" priority="132" stopIfTrue="1" operator="lessThan">
      <formula>-0.03</formula>
    </cfRule>
  </conditionalFormatting>
  <conditionalFormatting sqref="AA31">
    <cfRule type="cellIs" dxfId="0" priority="129" operator="greaterThan">
      <formula>0.03</formula>
    </cfRule>
    <cfRule type="cellIs" dxfId="1" priority="130" stopIfTrue="1" operator="lessThan">
      <formula>-0.03</formula>
    </cfRule>
  </conditionalFormatting>
  <conditionalFormatting sqref="AB31">
    <cfRule type="cellIs" dxfId="0" priority="127" operator="greaterThan">
      <formula>0.03</formula>
    </cfRule>
    <cfRule type="cellIs" dxfId="1" priority="128" stopIfTrue="1" operator="lessThan">
      <formula>-0.03</formula>
    </cfRule>
  </conditionalFormatting>
  <conditionalFormatting sqref="Z34:AA34">
    <cfRule type="cellIs" dxfId="0" priority="55" operator="greaterThan">
      <formula>0.03</formula>
    </cfRule>
    <cfRule type="cellIs" dxfId="1" priority="56" stopIfTrue="1" operator="lessThan">
      <formula>-0.03</formula>
    </cfRule>
  </conditionalFormatting>
  <conditionalFormatting sqref="Z35">
    <cfRule type="cellIs" dxfId="0" priority="125" operator="greaterThan">
      <formula>0.03</formula>
    </cfRule>
    <cfRule type="cellIs" dxfId="1" priority="126" stopIfTrue="1" operator="lessThan">
      <formula>-0.03</formula>
    </cfRule>
  </conditionalFormatting>
  <conditionalFormatting sqref="AA35">
    <cfRule type="cellIs" dxfId="0" priority="123" operator="greaterThan">
      <formula>0.03</formula>
    </cfRule>
    <cfRule type="cellIs" dxfId="1" priority="124" stopIfTrue="1" operator="lessThan">
      <formula>-0.03</formula>
    </cfRule>
  </conditionalFormatting>
  <conditionalFormatting sqref="AB35">
    <cfRule type="cellIs" dxfId="0" priority="121" operator="greaterThan">
      <formula>0.03</formula>
    </cfRule>
    <cfRule type="cellIs" dxfId="1" priority="122" stopIfTrue="1" operator="lessThan">
      <formula>-0.03</formula>
    </cfRule>
  </conditionalFormatting>
  <conditionalFormatting sqref="Z38:AA38">
    <cfRule type="cellIs" dxfId="0" priority="53" operator="greaterThan">
      <formula>0.03</formula>
    </cfRule>
    <cfRule type="cellIs" dxfId="1" priority="54" stopIfTrue="1" operator="lessThan">
      <formula>-0.03</formula>
    </cfRule>
  </conditionalFormatting>
  <conditionalFormatting sqref="Z39">
    <cfRule type="cellIs" dxfId="0" priority="119" operator="greaterThan">
      <formula>0.03</formula>
    </cfRule>
    <cfRule type="cellIs" dxfId="1" priority="120" stopIfTrue="1" operator="lessThan">
      <formula>-0.03</formula>
    </cfRule>
  </conditionalFormatting>
  <conditionalFormatting sqref="AA39">
    <cfRule type="cellIs" dxfId="0" priority="117" operator="greaterThan">
      <formula>0.03</formula>
    </cfRule>
    <cfRule type="cellIs" dxfId="1" priority="118" stopIfTrue="1" operator="lessThan">
      <formula>-0.03</formula>
    </cfRule>
  </conditionalFormatting>
  <conditionalFormatting sqref="AB39">
    <cfRule type="cellIs" dxfId="0" priority="115" operator="greaterThan">
      <formula>0.03</formula>
    </cfRule>
    <cfRule type="cellIs" dxfId="1" priority="116" stopIfTrue="1" operator="lessThan">
      <formula>-0.03</formula>
    </cfRule>
  </conditionalFormatting>
  <conditionalFormatting sqref="Z42:AA42">
    <cfRule type="cellIs" dxfId="0" priority="51" operator="greaterThan">
      <formula>0.03</formula>
    </cfRule>
    <cfRule type="cellIs" dxfId="1" priority="52" stopIfTrue="1" operator="lessThan">
      <formula>-0.03</formula>
    </cfRule>
  </conditionalFormatting>
  <conditionalFormatting sqref="Z43">
    <cfRule type="cellIs" dxfId="0" priority="113" operator="greaterThan">
      <formula>0.03</formula>
    </cfRule>
    <cfRule type="cellIs" dxfId="1" priority="114" stopIfTrue="1" operator="lessThan">
      <formula>-0.03</formula>
    </cfRule>
  </conditionalFormatting>
  <conditionalFormatting sqref="AA43">
    <cfRule type="cellIs" dxfId="0" priority="111" operator="greaterThan">
      <formula>0.03</formula>
    </cfRule>
    <cfRule type="cellIs" dxfId="1" priority="112" stopIfTrue="1" operator="lessThan">
      <formula>-0.03</formula>
    </cfRule>
  </conditionalFormatting>
  <conditionalFormatting sqref="AB43">
    <cfRule type="cellIs" dxfId="0" priority="109" operator="greaterThan">
      <formula>0.03</formula>
    </cfRule>
    <cfRule type="cellIs" dxfId="1" priority="110" stopIfTrue="1" operator="lessThan">
      <formula>-0.03</formula>
    </cfRule>
  </conditionalFormatting>
  <conditionalFormatting sqref="Z46:AA46">
    <cfRule type="cellIs" dxfId="0" priority="49" operator="greaterThan">
      <formula>0.03</formula>
    </cfRule>
    <cfRule type="cellIs" dxfId="1" priority="50" stopIfTrue="1" operator="lessThan">
      <formula>-0.03</formula>
    </cfRule>
  </conditionalFormatting>
  <conditionalFormatting sqref="Z47">
    <cfRule type="cellIs" dxfId="0" priority="107" operator="greaterThan">
      <formula>0.03</formula>
    </cfRule>
    <cfRule type="cellIs" dxfId="1" priority="108" stopIfTrue="1" operator="lessThan">
      <formula>-0.03</formula>
    </cfRule>
  </conditionalFormatting>
  <conditionalFormatting sqref="AA47">
    <cfRule type="cellIs" dxfId="0" priority="105" operator="greaterThan">
      <formula>0.03</formula>
    </cfRule>
    <cfRule type="cellIs" dxfId="1" priority="106" stopIfTrue="1" operator="lessThan">
      <formula>-0.03</formula>
    </cfRule>
  </conditionalFormatting>
  <conditionalFormatting sqref="AB47">
    <cfRule type="cellIs" dxfId="0" priority="103" operator="greaterThan">
      <formula>0.03</formula>
    </cfRule>
    <cfRule type="cellIs" dxfId="1" priority="104" stopIfTrue="1" operator="lessThan">
      <formula>-0.03</formula>
    </cfRule>
  </conditionalFormatting>
  <conditionalFormatting sqref="Z50:AA50">
    <cfRule type="cellIs" dxfId="0" priority="47" operator="greaterThan">
      <formula>0.03</formula>
    </cfRule>
    <cfRule type="cellIs" dxfId="1" priority="48" stopIfTrue="1" operator="lessThan">
      <formula>-0.03</formula>
    </cfRule>
  </conditionalFormatting>
  <conditionalFormatting sqref="Z51">
    <cfRule type="cellIs" dxfId="0" priority="101" operator="greaterThan">
      <formula>0.03</formula>
    </cfRule>
    <cfRule type="cellIs" dxfId="1" priority="102" stopIfTrue="1" operator="lessThan">
      <formula>-0.03</formula>
    </cfRule>
  </conditionalFormatting>
  <conditionalFormatting sqref="AA51">
    <cfRule type="cellIs" dxfId="0" priority="99" operator="greaterThan">
      <formula>0.03</formula>
    </cfRule>
    <cfRule type="cellIs" dxfId="1" priority="100" stopIfTrue="1" operator="lessThan">
      <formula>-0.03</formula>
    </cfRule>
  </conditionalFormatting>
  <conditionalFormatting sqref="AB51">
    <cfRule type="cellIs" dxfId="0" priority="97" operator="greaterThan">
      <formula>0.03</formula>
    </cfRule>
    <cfRule type="cellIs" dxfId="1" priority="98" stopIfTrue="1" operator="lessThan">
      <formula>-0.03</formula>
    </cfRule>
  </conditionalFormatting>
  <conditionalFormatting sqref="Z54:AA54">
    <cfRule type="cellIs" dxfId="0" priority="45" operator="greaterThan">
      <formula>0.03</formula>
    </cfRule>
    <cfRule type="cellIs" dxfId="1" priority="46" stopIfTrue="1" operator="lessThan">
      <formula>-0.03</formula>
    </cfRule>
  </conditionalFormatting>
  <conditionalFormatting sqref="Z55">
    <cfRule type="cellIs" dxfId="0" priority="95" operator="greaterThan">
      <formula>0.03</formula>
    </cfRule>
    <cfRule type="cellIs" dxfId="1" priority="96" stopIfTrue="1" operator="lessThan">
      <formula>-0.03</formula>
    </cfRule>
  </conditionalFormatting>
  <conditionalFormatting sqref="AA55">
    <cfRule type="cellIs" dxfId="0" priority="93" operator="greaterThan">
      <formula>0.03</formula>
    </cfRule>
    <cfRule type="cellIs" dxfId="1" priority="94" stopIfTrue="1" operator="lessThan">
      <formula>-0.03</formula>
    </cfRule>
  </conditionalFormatting>
  <conditionalFormatting sqref="AB55">
    <cfRule type="cellIs" dxfId="0" priority="91" operator="greaterThan">
      <formula>0.03</formula>
    </cfRule>
    <cfRule type="cellIs" dxfId="1" priority="92" stopIfTrue="1" operator="lessThan">
      <formula>-0.03</formula>
    </cfRule>
  </conditionalFormatting>
  <conditionalFormatting sqref="Z58:AA58">
    <cfRule type="cellIs" dxfId="0" priority="43" operator="greaterThan">
      <formula>0.03</formula>
    </cfRule>
    <cfRule type="cellIs" dxfId="1" priority="44" stopIfTrue="1" operator="lessThan">
      <formula>-0.03</formula>
    </cfRule>
  </conditionalFormatting>
  <conditionalFormatting sqref="Z59">
    <cfRule type="cellIs" dxfId="0" priority="89" operator="greaterThan">
      <formula>0.03</formula>
    </cfRule>
    <cfRule type="cellIs" dxfId="1" priority="90" stopIfTrue="1" operator="lessThan">
      <formula>-0.03</formula>
    </cfRule>
  </conditionalFormatting>
  <conditionalFormatting sqref="AA59">
    <cfRule type="cellIs" dxfId="0" priority="87" operator="greaterThan">
      <formula>0.03</formula>
    </cfRule>
    <cfRule type="cellIs" dxfId="1" priority="88" stopIfTrue="1" operator="lessThan">
      <formula>-0.03</formula>
    </cfRule>
  </conditionalFormatting>
  <conditionalFormatting sqref="AB59">
    <cfRule type="cellIs" dxfId="0" priority="85" operator="greaterThan">
      <formula>0.03</formula>
    </cfRule>
    <cfRule type="cellIs" dxfId="1" priority="86" stopIfTrue="1" operator="lessThan">
      <formula>-0.03</formula>
    </cfRule>
  </conditionalFormatting>
  <conditionalFormatting sqref="Z62:AA62">
    <cfRule type="cellIs" dxfId="0" priority="41" operator="greaterThan">
      <formula>0.03</formula>
    </cfRule>
    <cfRule type="cellIs" dxfId="1" priority="42" stopIfTrue="1" operator="lessThan">
      <formula>-0.03</formula>
    </cfRule>
  </conditionalFormatting>
  <conditionalFormatting sqref="Z63">
    <cfRule type="cellIs" dxfId="0" priority="83" operator="greaterThan">
      <formula>0.03</formula>
    </cfRule>
    <cfRule type="cellIs" dxfId="1" priority="84" stopIfTrue="1" operator="lessThan">
      <formula>-0.03</formula>
    </cfRule>
  </conditionalFormatting>
  <conditionalFormatting sqref="AA63">
    <cfRule type="cellIs" dxfId="0" priority="81" operator="greaterThan">
      <formula>0.03</formula>
    </cfRule>
    <cfRule type="cellIs" dxfId="1" priority="82" stopIfTrue="1" operator="lessThan">
      <formula>-0.03</formula>
    </cfRule>
  </conditionalFormatting>
  <conditionalFormatting sqref="AB63">
    <cfRule type="cellIs" dxfId="0" priority="79" operator="greaterThan">
      <formula>0.03</formula>
    </cfRule>
    <cfRule type="cellIs" dxfId="1" priority="80" stopIfTrue="1" operator="lessThan">
      <formula>-0.03</formula>
    </cfRule>
  </conditionalFormatting>
  <conditionalFormatting sqref="Z66:AA66">
    <cfRule type="cellIs" dxfId="0" priority="39" operator="greaterThan">
      <formula>0.03</formula>
    </cfRule>
    <cfRule type="cellIs" dxfId="1" priority="40" stopIfTrue="1" operator="lessThan">
      <formula>-0.03</formula>
    </cfRule>
  </conditionalFormatting>
  <conditionalFormatting sqref="Z83">
    <cfRule type="cellIs" dxfId="0" priority="31" operator="greaterThan">
      <formula>0.03</formula>
    </cfRule>
    <cfRule type="cellIs" dxfId="1" priority="32" stopIfTrue="1" operator="lessThan">
      <formula>-0.03</formula>
    </cfRule>
  </conditionalFormatting>
  <conditionalFormatting sqref="AA83">
    <cfRule type="cellIs" dxfId="0" priority="29" operator="greaterThan">
      <formula>0.03</formula>
    </cfRule>
    <cfRule type="cellIs" dxfId="1" priority="30" stopIfTrue="1" operator="lessThan">
      <formula>-0.03</formula>
    </cfRule>
  </conditionalFormatting>
  <conditionalFormatting sqref="AB83">
    <cfRule type="cellIs" dxfId="0" priority="27" operator="greaterThan">
      <formula>0.03</formula>
    </cfRule>
    <cfRule type="cellIs" dxfId="1" priority="28" stopIfTrue="1" operator="lessThan">
      <formula>-0.03</formula>
    </cfRule>
  </conditionalFormatting>
  <conditionalFormatting sqref="Z86:AA86">
    <cfRule type="cellIs" dxfId="0" priority="7" operator="greaterThan">
      <formula>0.03</formula>
    </cfRule>
    <cfRule type="cellIs" dxfId="1" priority="8" stopIfTrue="1" operator="lessThan">
      <formula>-0.03</formula>
    </cfRule>
  </conditionalFormatting>
  <conditionalFormatting sqref="Z87">
    <cfRule type="cellIs" dxfId="0" priority="25" operator="greaterThan">
      <formula>0.03</formula>
    </cfRule>
    <cfRule type="cellIs" dxfId="1" priority="26" stopIfTrue="1" operator="lessThan">
      <formula>-0.03</formula>
    </cfRule>
  </conditionalFormatting>
  <conditionalFormatting sqref="AA87">
    <cfRule type="cellIs" dxfId="0" priority="23" operator="greaterThan">
      <formula>0.03</formula>
    </cfRule>
    <cfRule type="cellIs" dxfId="1" priority="24" stopIfTrue="1" operator="lessThan">
      <formula>-0.03</formula>
    </cfRule>
  </conditionalFormatting>
  <conditionalFormatting sqref="AB87">
    <cfRule type="cellIs" dxfId="0" priority="21" operator="greaterThan">
      <formula>0.03</formula>
    </cfRule>
    <cfRule type="cellIs" dxfId="1" priority="22" stopIfTrue="1" operator="lessThan">
      <formula>-0.03</formula>
    </cfRule>
  </conditionalFormatting>
  <conditionalFormatting sqref="Z90:AA90">
    <cfRule type="cellIs" dxfId="0" priority="5" operator="greaterThan">
      <formula>0.03</formula>
    </cfRule>
    <cfRule type="cellIs" dxfId="1" priority="6" stopIfTrue="1" operator="lessThan">
      <formula>-0.03</formula>
    </cfRule>
  </conditionalFormatting>
  <conditionalFormatting sqref="Z91">
    <cfRule type="cellIs" dxfId="0" priority="19" operator="greaterThan">
      <formula>0.03</formula>
    </cfRule>
    <cfRule type="cellIs" dxfId="1" priority="20" stopIfTrue="1" operator="lessThan">
      <formula>-0.03</formula>
    </cfRule>
  </conditionalFormatting>
  <conditionalFormatting sqref="AA91">
    <cfRule type="cellIs" dxfId="0" priority="17" operator="greaterThan">
      <formula>0.03</formula>
    </cfRule>
    <cfRule type="cellIs" dxfId="1" priority="18" stopIfTrue="1" operator="lessThan">
      <formula>-0.03</formula>
    </cfRule>
  </conditionalFormatting>
  <conditionalFormatting sqref="AB91">
    <cfRule type="cellIs" dxfId="0" priority="15" operator="greaterThan">
      <formula>0.03</formula>
    </cfRule>
    <cfRule type="cellIs" dxfId="1" priority="16" stopIfTrue="1" operator="lessThan">
      <formula>-0.03</formula>
    </cfRule>
  </conditionalFormatting>
  <conditionalFormatting sqref="Z94:AA94">
    <cfRule type="cellIs" dxfId="0" priority="3" operator="greaterThan">
      <formula>0.03</formula>
    </cfRule>
    <cfRule type="cellIs" dxfId="1" priority="4" stopIfTrue="1" operator="lessThan">
      <formula>-0.03</formula>
    </cfRule>
  </conditionalFormatting>
  <conditionalFormatting sqref="Z95">
    <cfRule type="cellIs" dxfId="0" priority="13" operator="greaterThan">
      <formula>0.03</formula>
    </cfRule>
    <cfRule type="cellIs" dxfId="1" priority="14" stopIfTrue="1" operator="lessThan">
      <formula>-0.03</formula>
    </cfRule>
  </conditionalFormatting>
  <conditionalFormatting sqref="AA95">
    <cfRule type="cellIs" dxfId="0" priority="11" operator="greaterThan">
      <formula>0.03</formula>
    </cfRule>
    <cfRule type="cellIs" dxfId="1" priority="12" stopIfTrue="1" operator="lessThan">
      <formula>-0.03</formula>
    </cfRule>
  </conditionalFormatting>
  <conditionalFormatting sqref="AB95">
    <cfRule type="cellIs" dxfId="0" priority="9" operator="greaterThan">
      <formula>0.03</formula>
    </cfRule>
    <cfRule type="cellIs" dxfId="1" priority="10" stopIfTrue="1" operator="lessThan">
      <formula>-0.03</formula>
    </cfRule>
  </conditionalFormatting>
  <conditionalFormatting sqref="Z98:AA98">
    <cfRule type="cellIs" dxfId="0" priority="1" operator="greaterThan">
      <formula>0.03</formula>
    </cfRule>
    <cfRule type="cellIs" dxfId="1" priority="2" stopIfTrue="1" operator="lessThan">
      <formula>-0.03</formula>
    </cfRule>
  </conditionalFormatting>
  <conditionalFormatting sqref="W3:Y3 V4:Y82 V100:Y103 V99:AB99 V104:AB105">
    <cfRule type="cellIs" dxfId="0" priority="175" operator="greaterThan">
      <formula>0.03</formula>
    </cfRule>
    <cfRule type="cellIs" dxfId="1" priority="176" stopIfTrue="1" operator="lessThan">
      <formula>-0.03</formula>
    </cfRule>
  </conditionalFormatting>
  <conditionalFormatting sqref="Z67 Z71 Z75 Z79">
    <cfRule type="cellIs" dxfId="0" priority="77" operator="greaterThan">
      <formula>0.03</formula>
    </cfRule>
    <cfRule type="cellIs" dxfId="1" priority="78" stopIfTrue="1" operator="lessThan">
      <formula>-0.03</formula>
    </cfRule>
  </conditionalFormatting>
  <conditionalFormatting sqref="AA67 AA71 AA75 AA79">
    <cfRule type="cellIs" dxfId="0" priority="75" operator="greaterThan">
      <formula>0.03</formula>
    </cfRule>
    <cfRule type="cellIs" dxfId="1" priority="76" stopIfTrue="1" operator="lessThan">
      <formula>-0.03</formula>
    </cfRule>
  </conditionalFormatting>
  <conditionalFormatting sqref="AB67 AB71 AB75 AB79">
    <cfRule type="cellIs" dxfId="0" priority="73" operator="greaterThan">
      <formula>0.03</formula>
    </cfRule>
    <cfRule type="cellIs" dxfId="1" priority="74" stopIfTrue="1" operator="lessThan">
      <formula>-0.03</formula>
    </cfRule>
  </conditionalFormatting>
  <conditionalFormatting sqref="Z70:AA70 Z74:AA74 Z78:AA78 Z82:AA82">
    <cfRule type="cellIs" dxfId="0" priority="37" operator="greaterThan">
      <formula>0.03</formula>
    </cfRule>
    <cfRule type="cellIs" dxfId="1" priority="38" stopIfTrue="1" operator="lessThan">
      <formula>-0.03</formula>
    </cfRule>
  </conditionalFormatting>
  <conditionalFormatting sqref="V83:Y98">
    <cfRule type="cellIs" dxfId="0" priority="33" operator="greaterThan">
      <formula>0.03</formula>
    </cfRule>
    <cfRule type="cellIs" dxfId="1" priority="34" stopIfTrue="1" operator="lessThan">
      <formula>-0.03</formula>
    </cfRule>
  </conditionalFormatting>
  <conditionalFormatting sqref="Z100:AB103">
    <cfRule type="cellIs" dxfId="0" priority="71" operator="greaterThan">
      <formula>0.03</formula>
    </cfRule>
    <cfRule type="cellIs" dxfId="1" priority="72" stopIfTrue="1" operator="lessThan">
      <formula>-0.03</formula>
    </cfRule>
  </conditionalFormatting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V109"/>
  <sheetViews>
    <sheetView tabSelected="1" zoomScale="85" zoomScaleNormal="85" workbookViewId="0">
      <selection activeCell="G25" sqref="G25"/>
    </sheetView>
  </sheetViews>
  <sheetFormatPr defaultColWidth="10.875" defaultRowHeight="11.4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8" width="8.2" style="1" customWidth="1"/>
    <col min="9" max="9" width="2.875" style="1" customWidth="1"/>
    <col min="10" max="10" width="9.875" style="1" customWidth="1"/>
    <col min="11" max="13" width="6.875" style="1" customWidth="1"/>
    <col min="14" max="14" width="8.875" style="1" customWidth="1"/>
    <col min="15" max="15" width="2.875" style="1" customWidth="1"/>
    <col min="16" max="22" width="8.875" style="1" customWidth="1"/>
    <col min="23" max="16384" width="10.875" style="1"/>
  </cols>
  <sheetData>
    <row r="1" ht="12.75" spans="4:22">
      <c r="D1" s="2" t="s">
        <v>0</v>
      </c>
      <c r="E1" s="3"/>
      <c r="F1" s="3"/>
      <c r="G1" s="3"/>
      <c r="H1" s="3"/>
      <c r="J1" s="2" t="s">
        <v>1</v>
      </c>
      <c r="K1" s="3"/>
      <c r="L1" s="3"/>
      <c r="M1" s="3"/>
      <c r="N1" s="3"/>
      <c r="O1" s="20"/>
      <c r="P1" s="2" t="s">
        <v>2</v>
      </c>
      <c r="Q1" s="3"/>
      <c r="R1" s="18"/>
      <c r="S1" s="3"/>
      <c r="T1" s="2" t="s">
        <v>3</v>
      </c>
      <c r="U1" s="3"/>
      <c r="V1" s="18"/>
    </row>
    <row r="2" ht="12.15" spans="1:22">
      <c r="A2" s="4"/>
      <c r="B2" s="5"/>
      <c r="C2" s="6" t="s">
        <v>4</v>
      </c>
      <c r="D2" s="7" t="s">
        <v>5</v>
      </c>
      <c r="E2" s="8" t="s">
        <v>6</v>
      </c>
      <c r="F2" s="8" t="s">
        <v>7</v>
      </c>
      <c r="G2" s="8" t="s">
        <v>8</v>
      </c>
      <c r="H2" s="8" t="s">
        <v>11</v>
      </c>
      <c r="I2" s="20"/>
      <c r="J2" s="7" t="s">
        <v>5</v>
      </c>
      <c r="K2" s="8" t="s">
        <v>6</v>
      </c>
      <c r="L2" s="8" t="s">
        <v>7</v>
      </c>
      <c r="M2" s="8" t="s">
        <v>8</v>
      </c>
      <c r="N2" s="8" t="s">
        <v>11</v>
      </c>
      <c r="O2" s="36"/>
      <c r="P2" s="7" t="s">
        <v>13</v>
      </c>
      <c r="Q2" s="8" t="s">
        <v>14</v>
      </c>
      <c r="R2" s="19" t="s">
        <v>15</v>
      </c>
      <c r="S2" s="51" t="s">
        <v>16</v>
      </c>
      <c r="T2" s="52" t="s">
        <v>13</v>
      </c>
      <c r="U2" s="51" t="s">
        <v>14</v>
      </c>
      <c r="V2" s="53" t="s">
        <v>15</v>
      </c>
    </row>
    <row r="3" spans="1:22">
      <c r="A3" s="9" t="s">
        <v>17</v>
      </c>
      <c r="B3" s="9" t="s">
        <v>18</v>
      </c>
      <c r="C3" s="9">
        <v>22</v>
      </c>
      <c r="D3" s="22"/>
      <c r="E3" s="23"/>
      <c r="F3" s="23"/>
      <c r="G3" s="23"/>
      <c r="H3" s="11"/>
      <c r="J3" s="22"/>
      <c r="K3" s="23"/>
      <c r="L3" s="23"/>
      <c r="M3" s="23"/>
      <c r="N3" s="23"/>
      <c r="O3" s="38"/>
      <c r="P3" s="39" t="e">
        <f>bdrate($D3:$D6,E3:E6,$J3:$J6,K3:K6)</f>
        <v>#VALUE!</v>
      </c>
      <c r="Q3" s="40" t="e">
        <f>bdrate($D3:$D6,F3:F6,$J3:$J6,L3:L6)</f>
        <v>#VALUE!</v>
      </c>
      <c r="R3" s="41" t="e">
        <f>bdrate($D3:$D6,G3:G6,$J3:$J6,M3:M6)</f>
        <v>#VALUE!</v>
      </c>
      <c r="S3" s="40" t="e">
        <f>bdrate(D3:D6,H3:H6,J3:J6,N3:N6)</f>
        <v>#VALUE!</v>
      </c>
      <c r="T3" s="39" t="e">
        <f>bdrateOld($D3:$D6,E3:E6,$J3:$J6,K3:K6)</f>
        <v>#VALUE!</v>
      </c>
      <c r="U3" s="40" t="e">
        <f>bdrateOld($D3:$D6,F3:F6,$J3:$J6,L3:L6)</f>
        <v>#VALUE!</v>
      </c>
      <c r="V3" s="41" t="e">
        <f>bdrateOld($D3:$D6,G3:G6,$J3:$J6,M3:M6)</f>
        <v>#VALUE!</v>
      </c>
    </row>
    <row r="4" spans="1:22">
      <c r="A4" s="12" t="s">
        <v>19</v>
      </c>
      <c r="B4" s="12"/>
      <c r="C4" s="12">
        <v>27</v>
      </c>
      <c r="D4" s="25"/>
      <c r="E4" s="26"/>
      <c r="F4" s="26"/>
      <c r="G4" s="26"/>
      <c r="H4" s="14"/>
      <c r="J4" s="25"/>
      <c r="K4" s="26"/>
      <c r="L4" s="26"/>
      <c r="M4" s="26"/>
      <c r="N4" s="26"/>
      <c r="O4" s="38"/>
      <c r="P4" s="43"/>
      <c r="Q4" s="44"/>
      <c r="R4" s="45"/>
      <c r="S4" s="44"/>
      <c r="T4" s="43"/>
      <c r="U4" s="44"/>
      <c r="V4" s="45"/>
    </row>
    <row r="5" spans="1:22">
      <c r="A5" s="12"/>
      <c r="B5" s="12"/>
      <c r="C5" s="12">
        <v>32</v>
      </c>
      <c r="D5" s="25"/>
      <c r="E5" s="26"/>
      <c r="F5" s="26"/>
      <c r="G5" s="26"/>
      <c r="H5" s="14"/>
      <c r="J5" s="25"/>
      <c r="K5" s="26"/>
      <c r="L5" s="26"/>
      <c r="M5" s="26"/>
      <c r="N5" s="26"/>
      <c r="O5" s="38"/>
      <c r="P5" s="43"/>
      <c r="Q5" s="44"/>
      <c r="R5" s="45"/>
      <c r="S5" s="44"/>
      <c r="T5" s="43"/>
      <c r="U5" s="44"/>
      <c r="V5" s="45"/>
    </row>
    <row r="6" ht="12.15" spans="1:22">
      <c r="A6" s="12"/>
      <c r="B6" s="15"/>
      <c r="C6" s="15">
        <v>37</v>
      </c>
      <c r="D6" s="28"/>
      <c r="E6" s="29"/>
      <c r="F6" s="29"/>
      <c r="G6" s="29"/>
      <c r="H6" s="17"/>
      <c r="J6" s="28"/>
      <c r="K6" s="29"/>
      <c r="L6" s="29"/>
      <c r="M6" s="29"/>
      <c r="N6" s="29"/>
      <c r="O6" s="38"/>
      <c r="P6" s="47"/>
      <c r="Q6" s="48"/>
      <c r="R6" s="49"/>
      <c r="S6" s="48"/>
      <c r="T6" s="47"/>
      <c r="U6" s="48"/>
      <c r="V6" s="49"/>
    </row>
    <row r="7" spans="1:22">
      <c r="A7" s="12"/>
      <c r="B7" s="9" t="s">
        <v>20</v>
      </c>
      <c r="C7" s="9">
        <v>22</v>
      </c>
      <c r="D7" s="22"/>
      <c r="E7" s="23"/>
      <c r="F7" s="23"/>
      <c r="G7" s="23"/>
      <c r="H7" s="11"/>
      <c r="J7" s="22"/>
      <c r="K7" s="23"/>
      <c r="L7" s="23"/>
      <c r="M7" s="23"/>
      <c r="N7" s="23"/>
      <c r="O7" s="38"/>
      <c r="P7" s="39" t="e">
        <f>bdrate($D7:$D10,E7:E10,$J7:$J10,K7:K10)</f>
        <v>#VALUE!</v>
      </c>
      <c r="Q7" s="40" t="e">
        <f>bdrate($D7:$D10,F7:F10,$J7:$J10,L7:L10)</f>
        <v>#VALUE!</v>
      </c>
      <c r="R7" s="40" t="e">
        <f>bdrate($D7:$D10,G7:G10,$J7:$J10,M7:M10)</f>
        <v>#VALUE!</v>
      </c>
      <c r="S7" s="40" t="e">
        <f>bdrate(D7:D10,H7:H10,J7:J10,N7:N10)</f>
        <v>#VALUE!</v>
      </c>
      <c r="T7" s="54" t="e">
        <f>bdrateOld($D7:$D10,E7:E10,$J7:$J10,K7:K10)</f>
        <v>#VALUE!</v>
      </c>
      <c r="U7" s="55" t="e">
        <f>bdrateOld($D7:$D10,F7:F10,$J7:$J10,L7:L10)</f>
        <v>#VALUE!</v>
      </c>
      <c r="V7" s="56" t="e">
        <f>bdrateOld($D7:$D10,G7:G10,$J7:$J10,M7:M10)</f>
        <v>#VALUE!</v>
      </c>
    </row>
    <row r="8" spans="1:22">
      <c r="A8" s="12"/>
      <c r="B8" s="12"/>
      <c r="C8" s="12">
        <v>27</v>
      </c>
      <c r="D8" s="25"/>
      <c r="E8" s="26"/>
      <c r="F8" s="26"/>
      <c r="G8" s="26"/>
      <c r="H8" s="14"/>
      <c r="J8" s="25"/>
      <c r="K8" s="26"/>
      <c r="L8" s="26"/>
      <c r="M8" s="26"/>
      <c r="N8" s="26"/>
      <c r="O8" s="38"/>
      <c r="P8" s="43"/>
      <c r="Q8" s="44"/>
      <c r="R8" s="44"/>
      <c r="S8" s="44"/>
      <c r="T8" s="43"/>
      <c r="U8" s="44"/>
      <c r="V8" s="45"/>
    </row>
    <row r="9" spans="1:22">
      <c r="A9" s="12"/>
      <c r="B9" s="12"/>
      <c r="C9" s="12">
        <v>32</v>
      </c>
      <c r="D9" s="25"/>
      <c r="E9" s="26"/>
      <c r="F9" s="26"/>
      <c r="G9" s="26"/>
      <c r="H9" s="14"/>
      <c r="J9" s="25"/>
      <c r="K9" s="26"/>
      <c r="L9" s="26"/>
      <c r="M9" s="26"/>
      <c r="N9" s="26"/>
      <c r="O9" s="38"/>
      <c r="P9" s="43"/>
      <c r="Q9" s="50"/>
      <c r="R9" s="44"/>
      <c r="S9" s="44"/>
      <c r="T9" s="43"/>
      <c r="U9" s="44"/>
      <c r="V9" s="45"/>
    </row>
    <row r="10" ht="12.15" spans="1:22">
      <c r="A10" s="12"/>
      <c r="B10" s="15"/>
      <c r="C10" s="15">
        <v>37</v>
      </c>
      <c r="D10" s="28"/>
      <c r="E10" s="29"/>
      <c r="F10" s="29"/>
      <c r="G10" s="29"/>
      <c r="H10" s="17"/>
      <c r="J10" s="28"/>
      <c r="K10" s="29"/>
      <c r="L10" s="29"/>
      <c r="M10" s="29"/>
      <c r="N10" s="29"/>
      <c r="O10" s="38"/>
      <c r="P10" s="47"/>
      <c r="Q10" s="48"/>
      <c r="R10" s="48"/>
      <c r="S10" s="48"/>
      <c r="T10" s="47"/>
      <c r="U10" s="48"/>
      <c r="V10" s="49"/>
    </row>
    <row r="11" spans="1:22">
      <c r="A11" s="12"/>
      <c r="B11" s="9" t="s">
        <v>21</v>
      </c>
      <c r="C11" s="9">
        <v>22</v>
      </c>
      <c r="D11" s="22"/>
      <c r="E11" s="23"/>
      <c r="F11" s="23"/>
      <c r="G11" s="23"/>
      <c r="H11" s="11"/>
      <c r="J11" s="22"/>
      <c r="K11" s="23"/>
      <c r="L11" s="23"/>
      <c r="M11" s="23"/>
      <c r="N11" s="23"/>
      <c r="O11" s="38"/>
      <c r="P11" s="39" t="e">
        <f>bdrate($D11:$D14,E11:E14,$J11:$J14,K11:K14)</f>
        <v>#VALUE!</v>
      </c>
      <c r="Q11" s="40" t="e">
        <f>bdrate($D11:$D14,F11:F14,$J11:$J14,L11:L14)</f>
        <v>#VALUE!</v>
      </c>
      <c r="R11" s="40" t="e">
        <f>bdrate($D11:$D14,G11:G14,$J11:$J14,M11:M14)</f>
        <v>#VALUE!</v>
      </c>
      <c r="S11" s="40" t="e">
        <f>bdrate(D11:D14,H11:H14,J11:J14,N11:N14)</f>
        <v>#VALUE!</v>
      </c>
      <c r="T11" s="54" t="e">
        <f>bdrateOld($D11:$D14,E11:E14,$J11:$J14,K11:K14)</f>
        <v>#VALUE!</v>
      </c>
      <c r="U11" s="55" t="e">
        <f>bdrateOld($D11:$D14,F11:F14,$J11:$J14,L11:L14)</f>
        <v>#VALUE!</v>
      </c>
      <c r="V11" s="56" t="e">
        <f>bdrateOld($D11:$D14,G11:G14,$J11:$J14,M11:M14)</f>
        <v>#VALUE!</v>
      </c>
    </row>
    <row r="12" spans="1:22">
      <c r="A12" s="12"/>
      <c r="B12" s="12"/>
      <c r="C12" s="12">
        <v>27</v>
      </c>
      <c r="D12" s="25"/>
      <c r="E12" s="26"/>
      <c r="F12" s="26"/>
      <c r="G12" s="26"/>
      <c r="H12" s="14"/>
      <c r="J12" s="25"/>
      <c r="K12" s="26"/>
      <c r="L12" s="26"/>
      <c r="M12" s="26"/>
      <c r="N12" s="26"/>
      <c r="O12" s="38"/>
      <c r="P12" s="43"/>
      <c r="Q12" s="44"/>
      <c r="R12" s="44"/>
      <c r="S12" s="44"/>
      <c r="T12" s="43"/>
      <c r="U12" s="44"/>
      <c r="V12" s="45"/>
    </row>
    <row r="13" spans="1:22">
      <c r="A13" s="12"/>
      <c r="B13" s="12"/>
      <c r="C13" s="12">
        <v>32</v>
      </c>
      <c r="D13" s="25"/>
      <c r="E13" s="26"/>
      <c r="F13" s="26"/>
      <c r="G13" s="26"/>
      <c r="H13" s="14"/>
      <c r="J13" s="25"/>
      <c r="K13" s="26"/>
      <c r="L13" s="26"/>
      <c r="M13" s="26"/>
      <c r="N13" s="26"/>
      <c r="O13" s="38"/>
      <c r="P13" s="43"/>
      <c r="Q13" s="44"/>
      <c r="R13" s="44"/>
      <c r="S13" s="44"/>
      <c r="T13" s="43"/>
      <c r="U13" s="44"/>
      <c r="V13" s="45"/>
    </row>
    <row r="14" ht="12.15" spans="1:22">
      <c r="A14" s="12"/>
      <c r="B14" s="15"/>
      <c r="C14" s="15">
        <v>37</v>
      </c>
      <c r="D14" s="28"/>
      <c r="E14" s="29"/>
      <c r="F14" s="29"/>
      <c r="G14" s="29"/>
      <c r="H14" s="17"/>
      <c r="J14" s="28"/>
      <c r="K14" s="29"/>
      <c r="L14" s="29"/>
      <c r="M14" s="29"/>
      <c r="N14" s="29"/>
      <c r="O14" s="38"/>
      <c r="P14" s="47"/>
      <c r="Q14" s="48"/>
      <c r="R14" s="48"/>
      <c r="S14" s="48"/>
      <c r="T14" s="47"/>
      <c r="U14" s="48"/>
      <c r="V14" s="49"/>
    </row>
    <row r="15" spans="1:22">
      <c r="A15" s="12"/>
      <c r="B15" s="9" t="s">
        <v>22</v>
      </c>
      <c r="C15" s="9">
        <v>22</v>
      </c>
      <c r="D15" s="22"/>
      <c r="E15" s="23"/>
      <c r="F15" s="23"/>
      <c r="G15" s="23"/>
      <c r="H15" s="11"/>
      <c r="J15" s="22"/>
      <c r="K15" s="23"/>
      <c r="L15" s="23"/>
      <c r="M15" s="23"/>
      <c r="N15" s="23"/>
      <c r="O15" s="38"/>
      <c r="P15" s="39" t="e">
        <f>bdrate($D15:$D18,E15:E18,$J15:$J18,K15:K18)</f>
        <v>#VALUE!</v>
      </c>
      <c r="Q15" s="40" t="e">
        <f>bdrate($D15:$D18,F15:F18,$J15:$J18,L15:L18)</f>
        <v>#VALUE!</v>
      </c>
      <c r="R15" s="40" t="e">
        <f>bdrate($D15:$D18,G15:G18,$J15:$J18,M15:M18)</f>
        <v>#VALUE!</v>
      </c>
      <c r="S15" s="40" t="e">
        <f>bdrate(D15:D18,H15:H18,J15:J18,N15:N18)</f>
        <v>#VALUE!</v>
      </c>
      <c r="T15" s="54" t="e">
        <f>bdrateOld($D15:$D18,E15:E18,$J15:$J18,K15:K18)</f>
        <v>#VALUE!</v>
      </c>
      <c r="U15" s="55" t="e">
        <f>bdrateOld($D15:$D18,F15:F18,$J15:$J18,L15:L18)</f>
        <v>#VALUE!</v>
      </c>
      <c r="V15" s="56" t="e">
        <f>bdrateOld($D15:$D18,G15:G18,$J15:$J18,M15:M18)</f>
        <v>#VALUE!</v>
      </c>
    </row>
    <row r="16" spans="1:22">
      <c r="A16" s="12"/>
      <c r="B16" s="12"/>
      <c r="C16" s="12">
        <v>27</v>
      </c>
      <c r="D16" s="25"/>
      <c r="E16" s="26"/>
      <c r="F16" s="26"/>
      <c r="G16" s="26"/>
      <c r="H16" s="14"/>
      <c r="J16" s="25"/>
      <c r="K16" s="26"/>
      <c r="L16" s="26"/>
      <c r="M16" s="26"/>
      <c r="N16" s="26"/>
      <c r="O16" s="38"/>
      <c r="P16" s="43"/>
      <c r="Q16" s="44"/>
      <c r="R16" s="44"/>
      <c r="S16" s="44"/>
      <c r="T16" s="43"/>
      <c r="U16" s="44"/>
      <c r="V16" s="45"/>
    </row>
    <row r="17" spans="1:22">
      <c r="A17" s="12"/>
      <c r="B17" s="12"/>
      <c r="C17" s="12">
        <v>32</v>
      </c>
      <c r="D17" s="25"/>
      <c r="E17" s="26"/>
      <c r="F17" s="26"/>
      <c r="G17" s="26"/>
      <c r="H17" s="14"/>
      <c r="J17" s="25"/>
      <c r="K17" s="26"/>
      <c r="L17" s="26"/>
      <c r="M17" s="26"/>
      <c r="N17" s="26"/>
      <c r="O17" s="38"/>
      <c r="P17" s="43"/>
      <c r="Q17" s="44"/>
      <c r="R17" s="44"/>
      <c r="S17" s="44"/>
      <c r="T17" s="43"/>
      <c r="U17" s="44"/>
      <c r="V17" s="45"/>
    </row>
    <row r="18" ht="12.15" spans="1:22">
      <c r="A18" s="15"/>
      <c r="B18" s="15"/>
      <c r="C18" s="15">
        <v>37</v>
      </c>
      <c r="D18" s="28"/>
      <c r="E18" s="29"/>
      <c r="F18" s="29"/>
      <c r="G18" s="29"/>
      <c r="H18" s="17"/>
      <c r="J18" s="28"/>
      <c r="K18" s="29"/>
      <c r="L18" s="29"/>
      <c r="M18" s="29"/>
      <c r="N18" s="29"/>
      <c r="O18" s="38"/>
      <c r="P18" s="47"/>
      <c r="Q18" s="48"/>
      <c r="R18" s="48"/>
      <c r="S18" s="48"/>
      <c r="T18" s="47"/>
      <c r="U18" s="48"/>
      <c r="V18" s="49"/>
    </row>
    <row r="19" spans="1:22">
      <c r="A19" s="9" t="s">
        <v>23</v>
      </c>
      <c r="B19" s="9" t="s">
        <v>24</v>
      </c>
      <c r="C19" s="62">
        <v>22</v>
      </c>
      <c r="D19" s="63">
        <v>15367.9</v>
      </c>
      <c r="E19" s="64">
        <v>41.684</v>
      </c>
      <c r="F19" s="64">
        <v>44.161</v>
      </c>
      <c r="G19" s="64">
        <v>45.929</v>
      </c>
      <c r="H19" s="11">
        <f>(6*E19+F19+G19)/8</f>
        <v>42.52425</v>
      </c>
      <c r="J19" s="63">
        <v>10695.14</v>
      </c>
      <c r="K19" s="64">
        <v>41.335</v>
      </c>
      <c r="L19" s="64">
        <v>43.844</v>
      </c>
      <c r="M19" s="64">
        <v>45.62</v>
      </c>
      <c r="N19" s="11">
        <f>(6*K19+L19+M19)/8</f>
        <v>42.18425</v>
      </c>
      <c r="O19" s="38"/>
      <c r="P19" s="39">
        <f>bdrate($D19:$D22,E19:E22,$J19:$J22,K19:K22)</f>
        <v>-0.247423285307281</v>
      </c>
      <c r="Q19" s="40">
        <f>bdrate($D19:$D22,F19:F22,$J19:$J22,L19:L22)</f>
        <v>-0.109221680106738</v>
      </c>
      <c r="R19" s="40">
        <f>bdrate($D19:$D22,G19:G22,$J19:$J22,M19:M22)</f>
        <v>-0.206848529501418</v>
      </c>
      <c r="S19" s="40">
        <f>bdrate(D19:D22,H19:H22,J19:J22,N19:N22)</f>
        <v>-0.241007337526902</v>
      </c>
      <c r="T19" s="54">
        <f>bdrateOld($D19:$D22,E19:E22,$J19:$J22,K19:K22)</f>
        <v>-0.247126834246619</v>
      </c>
      <c r="U19" s="55">
        <f>bdrateOld($D19:$D22,F19:F22,$J19:$J22,L19:L22)</f>
        <v>-0.10860920160801</v>
      </c>
      <c r="V19" s="56">
        <f>bdrateOld($D19:$D22,G19:G22,$J19:$J22,M19:M22)</f>
        <v>-0.153796904017825</v>
      </c>
    </row>
    <row r="20" spans="1:22">
      <c r="A20" s="12" t="s">
        <v>25</v>
      </c>
      <c r="B20" s="12"/>
      <c r="C20" s="65">
        <v>27</v>
      </c>
      <c r="D20" s="66">
        <v>7172.49</v>
      </c>
      <c r="E20" s="67">
        <v>39.658</v>
      </c>
      <c r="F20" s="67">
        <v>42.942</v>
      </c>
      <c r="G20" s="67">
        <v>44.267</v>
      </c>
      <c r="H20" s="14">
        <f>(6*E20+F20+G20)/8</f>
        <v>40.644625</v>
      </c>
      <c r="J20" s="66">
        <v>5252.78</v>
      </c>
      <c r="K20" s="67">
        <v>39.546</v>
      </c>
      <c r="L20" s="67">
        <v>42.623</v>
      </c>
      <c r="M20" s="67">
        <v>43.944</v>
      </c>
      <c r="N20" s="14">
        <f>(6*K20+L20+M20)/8</f>
        <v>40.480375</v>
      </c>
      <c r="O20" s="38"/>
      <c r="P20" s="43"/>
      <c r="Q20" s="44"/>
      <c r="R20" s="44"/>
      <c r="S20" s="44"/>
      <c r="T20" s="43"/>
      <c r="U20" s="44"/>
      <c r="V20" s="45"/>
    </row>
    <row r="21" spans="1:22">
      <c r="A21" s="12"/>
      <c r="B21" s="12"/>
      <c r="C21" s="65">
        <v>32</v>
      </c>
      <c r="D21" s="66">
        <v>3643.3</v>
      </c>
      <c r="E21" s="67">
        <v>37.137</v>
      </c>
      <c r="F21" s="67">
        <v>41.828</v>
      </c>
      <c r="G21" s="67">
        <v>42.873</v>
      </c>
      <c r="H21" s="14">
        <f>(6*E21+F21+G21)/8</f>
        <v>38.440375</v>
      </c>
      <c r="J21" s="66">
        <v>2809.8</v>
      </c>
      <c r="K21" s="67">
        <v>37.294</v>
      </c>
      <c r="L21" s="67">
        <v>41.529</v>
      </c>
      <c r="M21" s="67">
        <v>42.628</v>
      </c>
      <c r="N21" s="14">
        <f>(6*K21+L21+M21)/8</f>
        <v>38.490125</v>
      </c>
      <c r="O21" s="38"/>
      <c r="P21" s="43"/>
      <c r="Q21" s="44"/>
      <c r="R21" s="44"/>
      <c r="S21" s="44"/>
      <c r="T21" s="43"/>
      <c r="U21" s="44"/>
      <c r="V21" s="45"/>
    </row>
    <row r="22" ht="12.15" spans="1:22">
      <c r="A22" s="12"/>
      <c r="B22" s="15"/>
      <c r="C22" s="68">
        <v>37</v>
      </c>
      <c r="D22" s="69">
        <v>1958.76</v>
      </c>
      <c r="E22" s="70">
        <v>34.547</v>
      </c>
      <c r="F22" s="70">
        <v>40.599</v>
      </c>
      <c r="G22" s="70">
        <v>35.844</v>
      </c>
      <c r="H22" s="17">
        <f>(6*E22+F22+G22)/8</f>
        <v>35.465625</v>
      </c>
      <c r="J22" s="69">
        <v>1556.95</v>
      </c>
      <c r="K22" s="70">
        <v>34.89</v>
      </c>
      <c r="L22" s="70">
        <v>40.378</v>
      </c>
      <c r="M22" s="70">
        <v>41.372</v>
      </c>
      <c r="N22" s="17">
        <f>(6*K22+L22+M22)/8</f>
        <v>36.38625</v>
      </c>
      <c r="O22" s="38"/>
      <c r="P22" s="47"/>
      <c r="Q22" s="48"/>
      <c r="R22" s="48"/>
      <c r="S22" s="48"/>
      <c r="T22" s="47"/>
      <c r="U22" s="48"/>
      <c r="V22" s="49"/>
    </row>
    <row r="23" spans="1:22">
      <c r="A23" s="12"/>
      <c r="B23" s="9" t="s">
        <v>26</v>
      </c>
      <c r="C23" s="9">
        <v>22</v>
      </c>
      <c r="D23" s="63"/>
      <c r="E23" s="64"/>
      <c r="F23" s="64"/>
      <c r="G23" s="64"/>
      <c r="H23" s="11"/>
      <c r="J23" s="63"/>
      <c r="K23" s="64"/>
      <c r="L23" s="64"/>
      <c r="M23" s="64"/>
      <c r="N23" s="11"/>
      <c r="O23" s="38"/>
      <c r="P23" s="39" t="e">
        <f>bdrate($D23:$D26,E23:E26,$J23:$J26,K23:K26)</f>
        <v>#VALUE!</v>
      </c>
      <c r="Q23" s="40" t="e">
        <f>bdrate($D23:$D26,F23:F26,$J23:$J26,L23:L26)</f>
        <v>#VALUE!</v>
      </c>
      <c r="R23" s="40" t="e">
        <f>bdrate($D23:$D26,G23:G26,$J23:$J26,M23:M26)</f>
        <v>#VALUE!</v>
      </c>
      <c r="S23" s="40" t="e">
        <f>bdrate(D23:D26,H23:H26,J23:J26,N23:N26)</f>
        <v>#VALUE!</v>
      </c>
      <c r="T23" s="54" t="e">
        <f>bdrateOld($D23:$D26,E23:E26,$J23:$J26,K23:K26)</f>
        <v>#VALUE!</v>
      </c>
      <c r="U23" s="55" t="e">
        <f>bdrateOld($D23:$D26,F23:F26,$J23:$J26,L23:L26)</f>
        <v>#VALUE!</v>
      </c>
      <c r="V23" s="56" t="e">
        <f>bdrateOld($D23:$D26,G23:G26,$J23:$J26,M23:M26)</f>
        <v>#VALUE!</v>
      </c>
    </row>
    <row r="24" spans="1:22">
      <c r="A24" s="12"/>
      <c r="B24" s="12"/>
      <c r="C24" s="12">
        <v>27</v>
      </c>
      <c r="D24" s="66"/>
      <c r="E24" s="67"/>
      <c r="F24" s="67"/>
      <c r="G24" s="67"/>
      <c r="H24" s="14"/>
      <c r="J24" s="66"/>
      <c r="K24" s="67"/>
      <c r="L24" s="67"/>
      <c r="M24" s="67"/>
      <c r="N24" s="14"/>
      <c r="O24" s="38"/>
      <c r="P24" s="43"/>
      <c r="Q24" s="44"/>
      <c r="R24" s="44"/>
      <c r="S24" s="44"/>
      <c r="T24" s="43"/>
      <c r="U24" s="44"/>
      <c r="V24" s="45"/>
    </row>
    <row r="25" spans="1:22">
      <c r="A25" s="12"/>
      <c r="B25" s="12"/>
      <c r="C25" s="12">
        <v>32</v>
      </c>
      <c r="D25" s="66"/>
      <c r="E25" s="67"/>
      <c r="F25" s="67"/>
      <c r="G25" s="67"/>
      <c r="H25" s="14"/>
      <c r="J25" s="66"/>
      <c r="K25" s="67"/>
      <c r="L25" s="67"/>
      <c r="M25" s="67"/>
      <c r="N25" s="14"/>
      <c r="O25" s="38"/>
      <c r="P25" s="43"/>
      <c r="Q25" s="44"/>
      <c r="R25" s="44"/>
      <c r="S25" s="44"/>
      <c r="T25" s="43"/>
      <c r="U25" s="44"/>
      <c r="V25" s="45"/>
    </row>
    <row r="26" ht="12.15" spans="1:22">
      <c r="A26" s="12"/>
      <c r="B26" s="15"/>
      <c r="C26" s="15">
        <v>37</v>
      </c>
      <c r="D26" s="69"/>
      <c r="E26" s="70"/>
      <c r="F26" s="70"/>
      <c r="G26" s="70"/>
      <c r="H26" s="17"/>
      <c r="J26" s="69"/>
      <c r="K26" s="70"/>
      <c r="L26" s="70"/>
      <c r="M26" s="70"/>
      <c r="N26" s="17"/>
      <c r="O26" s="38"/>
      <c r="P26" s="47"/>
      <c r="Q26" s="48"/>
      <c r="R26" s="48"/>
      <c r="S26" s="48"/>
      <c r="T26" s="47"/>
      <c r="U26" s="48"/>
      <c r="V26" s="49"/>
    </row>
    <row r="27" spans="1:22">
      <c r="A27" s="12"/>
      <c r="B27" s="9" t="s">
        <v>27</v>
      </c>
      <c r="C27" s="9">
        <v>22</v>
      </c>
      <c r="D27" s="63"/>
      <c r="E27" s="64"/>
      <c r="F27" s="64"/>
      <c r="G27" s="64"/>
      <c r="H27" s="11"/>
      <c r="J27" s="63"/>
      <c r="K27" s="64"/>
      <c r="L27" s="64"/>
      <c r="M27" s="64"/>
      <c r="N27" s="11"/>
      <c r="O27" s="38"/>
      <c r="P27" s="39" t="e">
        <f>bdrate($D27:$D30,E27:E30,$J27:$J30,K27:K30)</f>
        <v>#VALUE!</v>
      </c>
      <c r="Q27" s="40" t="e">
        <f>bdrate($D27:$D30,F27:F30,$J27:$J30,L27:L30)</f>
        <v>#VALUE!</v>
      </c>
      <c r="R27" s="40" t="e">
        <f>bdrate($D27:$D30,G27:G30,$J27:$J30,M27:M30)</f>
        <v>#VALUE!</v>
      </c>
      <c r="S27" s="40" t="e">
        <f>bdrate(D27:D30,H27:H30,J27:J30,N27:N30)</f>
        <v>#VALUE!</v>
      </c>
      <c r="T27" s="54" t="e">
        <f>bdrateOld($D27:$D30,E27:E30,$J27:$J30,K27:K30)</f>
        <v>#VALUE!</v>
      </c>
      <c r="U27" s="55" t="e">
        <f>bdrateOld($D27:$D30,F27:F30,$J27:$J30,L27:L30)</f>
        <v>#VALUE!</v>
      </c>
      <c r="V27" s="56" t="e">
        <f>bdrateOld($D27:$D30,G27:G30,$J27:$J30,M27:M30)</f>
        <v>#VALUE!</v>
      </c>
    </row>
    <row r="28" spans="1:22">
      <c r="A28" s="12"/>
      <c r="B28" s="12"/>
      <c r="C28" s="12">
        <v>27</v>
      </c>
      <c r="D28" s="66"/>
      <c r="E28" s="67"/>
      <c r="F28" s="67"/>
      <c r="G28" s="67"/>
      <c r="H28" s="14"/>
      <c r="J28" s="66"/>
      <c r="K28" s="67"/>
      <c r="L28" s="67"/>
      <c r="M28" s="67"/>
      <c r="N28" s="14"/>
      <c r="O28" s="38"/>
      <c r="P28" s="43"/>
      <c r="Q28" s="44"/>
      <c r="R28" s="44"/>
      <c r="S28" s="44"/>
      <c r="T28" s="43"/>
      <c r="U28" s="44"/>
      <c r="V28" s="45"/>
    </row>
    <row r="29" spans="1:22">
      <c r="A29" s="12"/>
      <c r="B29" s="12"/>
      <c r="C29" s="12">
        <v>32</v>
      </c>
      <c r="D29" s="66"/>
      <c r="E29" s="67"/>
      <c r="F29" s="67"/>
      <c r="G29" s="67"/>
      <c r="H29" s="14"/>
      <c r="J29" s="66"/>
      <c r="K29" s="67"/>
      <c r="L29" s="67"/>
      <c r="M29" s="67"/>
      <c r="N29" s="14"/>
      <c r="O29" s="38"/>
      <c r="P29" s="43"/>
      <c r="Q29" s="44"/>
      <c r="R29" s="44"/>
      <c r="S29" s="44"/>
      <c r="T29" s="43"/>
      <c r="U29" s="44"/>
      <c r="V29" s="45"/>
    </row>
    <row r="30" ht="12.15" spans="1:22">
      <c r="A30" s="12"/>
      <c r="B30" s="15"/>
      <c r="C30" s="15">
        <v>37</v>
      </c>
      <c r="D30" s="69"/>
      <c r="E30" s="70"/>
      <c r="F30" s="70"/>
      <c r="G30" s="70"/>
      <c r="H30" s="17"/>
      <c r="J30" s="69"/>
      <c r="K30" s="70"/>
      <c r="L30" s="70"/>
      <c r="M30" s="70"/>
      <c r="N30" s="17"/>
      <c r="O30" s="38"/>
      <c r="P30" s="47"/>
      <c r="Q30" s="48"/>
      <c r="R30" s="48"/>
      <c r="S30" s="48"/>
      <c r="T30" s="47"/>
      <c r="U30" s="48"/>
      <c r="V30" s="49"/>
    </row>
    <row r="31" spans="1:22">
      <c r="A31" s="12"/>
      <c r="B31" s="9" t="s">
        <v>28</v>
      </c>
      <c r="C31" s="9">
        <v>22</v>
      </c>
      <c r="D31" s="63"/>
      <c r="E31" s="64"/>
      <c r="F31" s="64"/>
      <c r="G31" s="64"/>
      <c r="H31" s="11"/>
      <c r="J31" s="63"/>
      <c r="K31" s="64"/>
      <c r="L31" s="64"/>
      <c r="M31" s="64"/>
      <c r="N31" s="11"/>
      <c r="O31" s="38"/>
      <c r="P31" s="39" t="e">
        <f>bdrate($D31:$D34,E31:E34,$J31:$J34,K31:K34)</f>
        <v>#VALUE!</v>
      </c>
      <c r="Q31" s="40" t="e">
        <f>bdrate($D31:$D34,F31:F34,$J31:$J34,L31:L34)</f>
        <v>#VALUE!</v>
      </c>
      <c r="R31" s="40" t="e">
        <f>bdrate($D31:$D34,G31:G34,$J31:$J34,M31:M34)</f>
        <v>#VALUE!</v>
      </c>
      <c r="S31" s="40" t="e">
        <f>bdrate(D31:D34,H31:H34,J31:J34,N31:N34)</f>
        <v>#VALUE!</v>
      </c>
      <c r="T31" s="54" t="e">
        <f>bdrateOld($D31:$D34,E31:E34,$J31:$J34,K31:K34)</f>
        <v>#VALUE!</v>
      </c>
      <c r="U31" s="55" t="e">
        <f>bdrateOld($D31:$D34,F31:F34,$J31:$J34,L31:L34)</f>
        <v>#VALUE!</v>
      </c>
      <c r="V31" s="56" t="e">
        <f>bdrateOld($D31:$D34,G31:G34,$J31:$J34,M31:M34)</f>
        <v>#VALUE!</v>
      </c>
    </row>
    <row r="32" spans="1:22">
      <c r="A32" s="12"/>
      <c r="B32" s="12"/>
      <c r="C32" s="12">
        <v>27</v>
      </c>
      <c r="D32" s="66"/>
      <c r="E32" s="67"/>
      <c r="F32" s="67"/>
      <c r="G32" s="67"/>
      <c r="H32" s="14"/>
      <c r="J32" s="66"/>
      <c r="K32" s="67"/>
      <c r="L32" s="67"/>
      <c r="M32" s="67"/>
      <c r="N32" s="14"/>
      <c r="O32" s="38"/>
      <c r="P32" s="43"/>
      <c r="Q32" s="44"/>
      <c r="R32" s="44"/>
      <c r="S32" s="44"/>
      <c r="T32" s="43"/>
      <c r="U32" s="44"/>
      <c r="V32" s="45"/>
    </row>
    <row r="33" spans="1:22">
      <c r="A33" s="12"/>
      <c r="B33" s="12"/>
      <c r="C33" s="12">
        <v>32</v>
      </c>
      <c r="D33" s="66"/>
      <c r="E33" s="67"/>
      <c r="F33" s="67"/>
      <c r="G33" s="67"/>
      <c r="H33" s="14"/>
      <c r="J33" s="66"/>
      <c r="K33" s="67"/>
      <c r="L33" s="67"/>
      <c r="M33" s="67"/>
      <c r="N33" s="14"/>
      <c r="O33" s="38"/>
      <c r="P33" s="43"/>
      <c r="Q33" s="44"/>
      <c r="R33" s="44"/>
      <c r="S33" s="44"/>
      <c r="T33" s="43"/>
      <c r="U33" s="44"/>
      <c r="V33" s="45"/>
    </row>
    <row r="34" ht="12.15" spans="1:22">
      <c r="A34" s="12"/>
      <c r="B34" s="15"/>
      <c r="C34" s="15">
        <v>37</v>
      </c>
      <c r="D34" s="69"/>
      <c r="E34" s="70"/>
      <c r="F34" s="70"/>
      <c r="G34" s="70"/>
      <c r="H34" s="17"/>
      <c r="J34" s="69"/>
      <c r="K34" s="70"/>
      <c r="L34" s="70"/>
      <c r="M34" s="70"/>
      <c r="N34" s="17"/>
      <c r="O34" s="38"/>
      <c r="P34" s="47"/>
      <c r="Q34" s="48"/>
      <c r="R34" s="48"/>
      <c r="S34" s="48"/>
      <c r="T34" s="47"/>
      <c r="U34" s="48"/>
      <c r="V34" s="49"/>
    </row>
    <row r="35" spans="1:22">
      <c r="A35" s="12"/>
      <c r="B35" s="9" t="s">
        <v>29</v>
      </c>
      <c r="C35" s="9">
        <v>22</v>
      </c>
      <c r="D35" s="63"/>
      <c r="E35" s="64"/>
      <c r="F35" s="64"/>
      <c r="G35" s="64"/>
      <c r="H35" s="11"/>
      <c r="J35" s="63"/>
      <c r="K35" s="64"/>
      <c r="L35" s="64"/>
      <c r="M35" s="64"/>
      <c r="N35" s="11"/>
      <c r="O35" s="38"/>
      <c r="P35" s="39" t="e">
        <f>bdrate($D35:$D38,E35:E38,$J35:$J38,K35:K38)</f>
        <v>#VALUE!</v>
      </c>
      <c r="Q35" s="40" t="e">
        <f>bdrate($D35:$D38,F35:F38,$J35:$J38,L35:L38)</f>
        <v>#VALUE!</v>
      </c>
      <c r="R35" s="40" t="e">
        <f>bdrate($D35:$D38,G35:G38,$J35:$J38,M35:M38)</f>
        <v>#VALUE!</v>
      </c>
      <c r="S35" s="40" t="e">
        <f>bdrate(D35:D38,H35:H38,J35:J38,N35:N38)</f>
        <v>#VALUE!</v>
      </c>
      <c r="T35" s="54" t="e">
        <f>bdrateOld($D35:$D38,E35:E38,$J35:$J38,K35:K38)</f>
        <v>#VALUE!</v>
      </c>
      <c r="U35" s="55" t="e">
        <f>bdrateOld($D35:$D38,F35:F38,$J35:$J38,L35:L38)</f>
        <v>#VALUE!</v>
      </c>
      <c r="V35" s="56" t="e">
        <f>bdrateOld($D35:$D38,G35:G38,$J35:$J38,M35:M38)</f>
        <v>#VALUE!</v>
      </c>
    </row>
    <row r="36" spans="1:22">
      <c r="A36" s="12"/>
      <c r="B36" s="12"/>
      <c r="C36" s="12">
        <v>27</v>
      </c>
      <c r="D36" s="66"/>
      <c r="E36" s="67"/>
      <c r="F36" s="67"/>
      <c r="G36" s="67"/>
      <c r="H36" s="14"/>
      <c r="J36" s="66"/>
      <c r="K36" s="67"/>
      <c r="L36" s="67"/>
      <c r="M36" s="67"/>
      <c r="N36" s="14"/>
      <c r="O36" s="38"/>
      <c r="P36" s="43"/>
      <c r="Q36" s="44"/>
      <c r="R36" s="44"/>
      <c r="S36" s="44"/>
      <c r="T36" s="43"/>
      <c r="U36" s="44"/>
      <c r="V36" s="45"/>
    </row>
    <row r="37" spans="1:22">
      <c r="A37" s="12"/>
      <c r="B37" s="12"/>
      <c r="C37" s="12">
        <v>32</v>
      </c>
      <c r="D37" s="66"/>
      <c r="E37" s="67"/>
      <c r="F37" s="67"/>
      <c r="G37" s="67"/>
      <c r="H37" s="14"/>
      <c r="J37" s="66"/>
      <c r="K37" s="67"/>
      <c r="L37" s="67"/>
      <c r="M37" s="67"/>
      <c r="N37" s="14"/>
      <c r="O37" s="38"/>
      <c r="P37" s="43"/>
      <c r="Q37" s="44"/>
      <c r="R37" s="44"/>
      <c r="S37" s="44"/>
      <c r="T37" s="43"/>
      <c r="U37" s="44"/>
      <c r="V37" s="45"/>
    </row>
    <row r="38" ht="12.15" spans="1:22">
      <c r="A38" s="15"/>
      <c r="B38" s="15"/>
      <c r="C38" s="15">
        <v>37</v>
      </c>
      <c r="D38" s="69"/>
      <c r="E38" s="70"/>
      <c r="F38" s="70"/>
      <c r="G38" s="70"/>
      <c r="H38" s="17"/>
      <c r="J38" s="69"/>
      <c r="K38" s="70"/>
      <c r="L38" s="70"/>
      <c r="M38" s="70"/>
      <c r="N38" s="17"/>
      <c r="O38" s="38"/>
      <c r="P38" s="47"/>
      <c r="Q38" s="48"/>
      <c r="R38" s="48"/>
      <c r="S38" s="48"/>
      <c r="T38" s="47"/>
      <c r="U38" s="48"/>
      <c r="V38" s="49"/>
    </row>
    <row r="39" spans="1:22">
      <c r="A39" s="9" t="s">
        <v>30</v>
      </c>
      <c r="B39" s="9" t="s">
        <v>31</v>
      </c>
      <c r="C39" s="9">
        <v>22</v>
      </c>
      <c r="D39" s="63"/>
      <c r="E39" s="64"/>
      <c r="F39" s="64"/>
      <c r="G39" s="64"/>
      <c r="H39" s="11"/>
      <c r="J39" s="63"/>
      <c r="K39" s="64"/>
      <c r="L39" s="64"/>
      <c r="M39" s="64"/>
      <c r="N39" s="11"/>
      <c r="O39" s="38"/>
      <c r="P39" s="39" t="e">
        <f>bdrate($D39:$D42,E39:E42,$J39:$J42,K39:K42)</f>
        <v>#VALUE!</v>
      </c>
      <c r="Q39" s="40" t="e">
        <f>bdrate($D39:$D42,F39:F42,$J39:$J42,L39:L42)</f>
        <v>#VALUE!</v>
      </c>
      <c r="R39" s="40" t="e">
        <f>bdrate($D39:$D42,G39:G42,$J39:$J42,M39:M42)</f>
        <v>#VALUE!</v>
      </c>
      <c r="S39" s="40" t="e">
        <f>bdrate(D39:D42,H39:H42,J39:J42,N39:N42)</f>
        <v>#VALUE!</v>
      </c>
      <c r="T39" s="54" t="e">
        <f>bdrateOld($D39:$D42,E39:E42,$J39:$J42,K39:K42)</f>
        <v>#VALUE!</v>
      </c>
      <c r="U39" s="55" t="e">
        <f>bdrateOld($D39:$D42,F39:F42,$J39:$J42,L39:L42)</f>
        <v>#VALUE!</v>
      </c>
      <c r="V39" s="56" t="e">
        <f>bdrateOld($D39:$D42,G39:G42,$J39:$J42,M39:M42)</f>
        <v>#VALUE!</v>
      </c>
    </row>
    <row r="40" spans="1:22">
      <c r="A40" s="12" t="s">
        <v>32</v>
      </c>
      <c r="B40" s="12"/>
      <c r="C40" s="12">
        <v>27</v>
      </c>
      <c r="D40" s="66"/>
      <c r="E40" s="67"/>
      <c r="F40" s="67"/>
      <c r="G40" s="67"/>
      <c r="H40" s="14"/>
      <c r="J40" s="66"/>
      <c r="K40" s="67"/>
      <c r="L40" s="67"/>
      <c r="M40" s="67"/>
      <c r="N40" s="14"/>
      <c r="O40" s="38"/>
      <c r="P40" s="43"/>
      <c r="Q40" s="44"/>
      <c r="R40" s="44"/>
      <c r="S40" s="44"/>
      <c r="T40" s="43"/>
      <c r="U40" s="44"/>
      <c r="V40" s="45"/>
    </row>
    <row r="41" spans="1:22">
      <c r="A41" s="12"/>
      <c r="B41" s="12"/>
      <c r="C41" s="12">
        <v>32</v>
      </c>
      <c r="D41" s="66"/>
      <c r="E41" s="67"/>
      <c r="F41" s="67"/>
      <c r="G41" s="67"/>
      <c r="H41" s="14"/>
      <c r="J41" s="66"/>
      <c r="K41" s="67"/>
      <c r="L41" s="67"/>
      <c r="M41" s="67"/>
      <c r="N41" s="14"/>
      <c r="O41" s="38"/>
      <c r="P41" s="43"/>
      <c r="Q41" s="44"/>
      <c r="R41" s="44"/>
      <c r="S41" s="44"/>
      <c r="T41" s="43"/>
      <c r="U41" s="44"/>
      <c r="V41" s="45"/>
    </row>
    <row r="42" ht="12.15" spans="1:22">
      <c r="A42" s="12"/>
      <c r="B42" s="15"/>
      <c r="C42" s="15">
        <v>37</v>
      </c>
      <c r="D42" s="69"/>
      <c r="E42" s="70"/>
      <c r="F42" s="70"/>
      <c r="G42" s="70"/>
      <c r="H42" s="17"/>
      <c r="J42" s="69"/>
      <c r="K42" s="70"/>
      <c r="L42" s="70"/>
      <c r="M42" s="70"/>
      <c r="N42" s="17"/>
      <c r="O42" s="38"/>
      <c r="P42" s="47"/>
      <c r="Q42" s="48"/>
      <c r="R42" s="48"/>
      <c r="S42" s="48"/>
      <c r="T42" s="47"/>
      <c r="U42" s="48"/>
      <c r="V42" s="49"/>
    </row>
    <row r="43" spans="1:22">
      <c r="A43" s="12"/>
      <c r="B43" s="9" t="s">
        <v>33</v>
      </c>
      <c r="C43" s="9">
        <v>22</v>
      </c>
      <c r="D43" s="63"/>
      <c r="E43" s="64"/>
      <c r="F43" s="64"/>
      <c r="G43" s="64"/>
      <c r="H43" s="11"/>
      <c r="J43" s="63"/>
      <c r="K43" s="64"/>
      <c r="L43" s="64"/>
      <c r="M43" s="64"/>
      <c r="N43" s="11"/>
      <c r="O43" s="38"/>
      <c r="P43" s="39" t="e">
        <f>bdrate($D43:$D46,E43:E46,$J43:$J46,K43:K46)</f>
        <v>#VALUE!</v>
      </c>
      <c r="Q43" s="40" t="e">
        <f>bdrate($D43:$D46,F43:F46,$J43:$J46,L43:L46)</f>
        <v>#VALUE!</v>
      </c>
      <c r="R43" s="40" t="e">
        <f>bdrate($D43:$D46,G43:G46,$J43:$J46,M43:M46)</f>
        <v>#VALUE!</v>
      </c>
      <c r="S43" s="40" t="e">
        <f>bdrate(D43:D46,H43:H46,J43:J46,N43:N46)</f>
        <v>#VALUE!</v>
      </c>
      <c r="T43" s="54" t="e">
        <f>bdrateOld($D43:$D46,E43:E46,$J43:$J46,K43:K46)</f>
        <v>#VALUE!</v>
      </c>
      <c r="U43" s="55" t="e">
        <f>bdrateOld($D43:$D46,F43:F46,$J43:$J46,L43:L46)</f>
        <v>#VALUE!</v>
      </c>
      <c r="V43" s="56" t="e">
        <f>bdrateOld($D43:$D46,G43:G46,$J43:$J46,M43:M46)</f>
        <v>#VALUE!</v>
      </c>
    </row>
    <row r="44" spans="1:22">
      <c r="A44" s="12"/>
      <c r="B44" s="12"/>
      <c r="C44" s="12">
        <v>27</v>
      </c>
      <c r="D44" s="66"/>
      <c r="E44" s="67"/>
      <c r="F44" s="67"/>
      <c r="G44" s="67"/>
      <c r="H44" s="14"/>
      <c r="J44" s="66"/>
      <c r="K44" s="67"/>
      <c r="L44" s="67"/>
      <c r="M44" s="67"/>
      <c r="N44" s="14"/>
      <c r="O44" s="38"/>
      <c r="P44" s="43"/>
      <c r="Q44" s="44"/>
      <c r="R44" s="44"/>
      <c r="S44" s="44"/>
      <c r="T44" s="43"/>
      <c r="U44" s="44"/>
      <c r="V44" s="45"/>
    </row>
    <row r="45" spans="1:22">
      <c r="A45" s="12"/>
      <c r="B45" s="12"/>
      <c r="C45" s="12">
        <v>32</v>
      </c>
      <c r="D45" s="66"/>
      <c r="E45" s="67"/>
      <c r="F45" s="67"/>
      <c r="G45" s="67"/>
      <c r="H45" s="14"/>
      <c r="J45" s="66"/>
      <c r="K45" s="67"/>
      <c r="L45" s="67"/>
      <c r="M45" s="67"/>
      <c r="N45" s="14"/>
      <c r="O45" s="38"/>
      <c r="P45" s="43"/>
      <c r="Q45" s="44"/>
      <c r="R45" s="44"/>
      <c r="S45" s="44"/>
      <c r="T45" s="43"/>
      <c r="U45" s="44"/>
      <c r="V45" s="45"/>
    </row>
    <row r="46" ht="12.15" spans="1:22">
      <c r="A46" s="12"/>
      <c r="B46" s="15"/>
      <c r="C46" s="15">
        <v>37</v>
      </c>
      <c r="D46" s="69"/>
      <c r="E46" s="70"/>
      <c r="F46" s="70"/>
      <c r="G46" s="70"/>
      <c r="H46" s="17"/>
      <c r="J46" s="69"/>
      <c r="K46" s="70"/>
      <c r="L46" s="70"/>
      <c r="M46" s="70"/>
      <c r="N46" s="17"/>
      <c r="O46" s="38"/>
      <c r="P46" s="47"/>
      <c r="Q46" s="48"/>
      <c r="R46" s="48"/>
      <c r="S46" s="48"/>
      <c r="T46" s="47"/>
      <c r="U46" s="48"/>
      <c r="V46" s="49"/>
    </row>
    <row r="47" spans="1:22">
      <c r="A47" s="12"/>
      <c r="B47" s="9" t="s">
        <v>34</v>
      </c>
      <c r="C47" s="9">
        <v>22</v>
      </c>
      <c r="D47" s="63"/>
      <c r="E47" s="64"/>
      <c r="F47" s="64"/>
      <c r="G47" s="64"/>
      <c r="H47" s="11"/>
      <c r="J47" s="63"/>
      <c r="K47" s="64"/>
      <c r="L47" s="64"/>
      <c r="M47" s="64"/>
      <c r="N47" s="11"/>
      <c r="O47" s="38"/>
      <c r="P47" s="39" t="e">
        <f>bdrate($D47:$D50,E47:E50,$J47:$J50,K47:K50)</f>
        <v>#VALUE!</v>
      </c>
      <c r="Q47" s="40" t="e">
        <f>bdrate($D47:$D50,F47:F50,$J47:$J50,L47:L50)</f>
        <v>#VALUE!</v>
      </c>
      <c r="R47" s="40" t="e">
        <f>bdrate($D47:$D50,G47:G50,$J47:$J50,M47:M50)</f>
        <v>#VALUE!</v>
      </c>
      <c r="S47" s="40" t="e">
        <f>bdrate(D47:D50,H47:H50,J47:J50,N47:N50)</f>
        <v>#VALUE!</v>
      </c>
      <c r="T47" s="54" t="e">
        <f>bdrateOld($D47:$D50,E47:E50,$J47:$J50,K47:K50)</f>
        <v>#VALUE!</v>
      </c>
      <c r="U47" s="55" t="e">
        <f>bdrateOld($D47:$D50,F47:F50,$J47:$J50,L47:L50)</f>
        <v>#VALUE!</v>
      </c>
      <c r="V47" s="56" t="e">
        <f>bdrateOld($D47:$D50,G47:G50,$J47:$J50,M47:M50)</f>
        <v>#VALUE!</v>
      </c>
    </row>
    <row r="48" spans="1:22">
      <c r="A48" s="12"/>
      <c r="B48" s="12"/>
      <c r="C48" s="12">
        <v>27</v>
      </c>
      <c r="D48" s="66"/>
      <c r="E48" s="67"/>
      <c r="F48" s="67"/>
      <c r="G48" s="67"/>
      <c r="H48" s="14"/>
      <c r="J48" s="66"/>
      <c r="K48" s="67"/>
      <c r="L48" s="67"/>
      <c r="M48" s="67"/>
      <c r="N48" s="14"/>
      <c r="O48" s="38"/>
      <c r="P48" s="43"/>
      <c r="Q48" s="44"/>
      <c r="R48" s="44"/>
      <c r="S48" s="44"/>
      <c r="T48" s="43"/>
      <c r="U48" s="44"/>
      <c r="V48" s="45"/>
    </row>
    <row r="49" spans="1:22">
      <c r="A49" s="12"/>
      <c r="B49" s="12"/>
      <c r="C49" s="12">
        <v>32</v>
      </c>
      <c r="D49" s="66"/>
      <c r="E49" s="67"/>
      <c r="F49" s="67"/>
      <c r="G49" s="67"/>
      <c r="H49" s="14"/>
      <c r="J49" s="66"/>
      <c r="K49" s="67"/>
      <c r="L49" s="67"/>
      <c r="M49" s="67"/>
      <c r="N49" s="14"/>
      <c r="O49" s="38"/>
      <c r="P49" s="43"/>
      <c r="Q49" s="44"/>
      <c r="R49" s="44"/>
      <c r="S49" s="44"/>
      <c r="T49" s="43"/>
      <c r="U49" s="44"/>
      <c r="V49" s="45"/>
    </row>
    <row r="50" ht="12.15" spans="1:22">
      <c r="A50" s="12"/>
      <c r="B50" s="15"/>
      <c r="C50" s="15">
        <v>37</v>
      </c>
      <c r="D50" s="69"/>
      <c r="E50" s="70"/>
      <c r="F50" s="70"/>
      <c r="G50" s="70"/>
      <c r="H50" s="17"/>
      <c r="J50" s="69"/>
      <c r="K50" s="70"/>
      <c r="L50" s="70"/>
      <c r="M50" s="70"/>
      <c r="N50" s="17"/>
      <c r="O50" s="38"/>
      <c r="P50" s="47"/>
      <c r="Q50" s="48"/>
      <c r="R50" s="48"/>
      <c r="S50" s="48"/>
      <c r="T50" s="47"/>
      <c r="U50" s="48"/>
      <c r="V50" s="49"/>
    </row>
    <row r="51" spans="1:22">
      <c r="A51" s="12"/>
      <c r="B51" s="9" t="s">
        <v>35</v>
      </c>
      <c r="C51" s="9">
        <v>22</v>
      </c>
      <c r="D51" s="63"/>
      <c r="E51" s="64"/>
      <c r="F51" s="64"/>
      <c r="G51" s="64"/>
      <c r="H51" s="11"/>
      <c r="J51" s="63"/>
      <c r="K51" s="64"/>
      <c r="L51" s="64"/>
      <c r="M51" s="64"/>
      <c r="N51" s="11"/>
      <c r="O51" s="38"/>
      <c r="P51" s="39" t="e">
        <f>bdrate($D51:$D54,E51:E54,$J51:$J54,K51:K54)</f>
        <v>#VALUE!</v>
      </c>
      <c r="Q51" s="40" t="e">
        <f>bdrate($D51:$D54,F51:F54,$J51:$J54,L51:L54)</f>
        <v>#VALUE!</v>
      </c>
      <c r="R51" s="40" t="e">
        <f>bdrate($D51:$D54,G51:G54,$J51:$J54,M51:M54)</f>
        <v>#VALUE!</v>
      </c>
      <c r="S51" s="40" t="e">
        <f>bdrate(D51:D54,H51:H54,J51:J54,N51:N54)</f>
        <v>#VALUE!</v>
      </c>
      <c r="T51" s="54" t="e">
        <f>bdrateOld($D51:$D54,E51:E54,$J51:$J54,K51:K54)</f>
        <v>#VALUE!</v>
      </c>
      <c r="U51" s="55" t="e">
        <f>bdrateOld($D51:$D54,F51:F54,$J51:$J54,L51:L54)</f>
        <v>#VALUE!</v>
      </c>
      <c r="V51" s="56" t="e">
        <f>bdrateOld($D51:$D54,G51:G54,$J51:$J54,M51:M54)</f>
        <v>#VALUE!</v>
      </c>
    </row>
    <row r="52" spans="1:22">
      <c r="A52" s="12"/>
      <c r="B52" s="12"/>
      <c r="C52" s="12">
        <v>27</v>
      </c>
      <c r="D52" s="66"/>
      <c r="E52" s="67"/>
      <c r="F52" s="67"/>
      <c r="G52" s="67"/>
      <c r="H52" s="14"/>
      <c r="J52" s="66"/>
      <c r="K52" s="67"/>
      <c r="L52" s="67"/>
      <c r="M52" s="67"/>
      <c r="N52" s="14"/>
      <c r="O52" s="38"/>
      <c r="P52" s="43"/>
      <c r="Q52" s="44"/>
      <c r="R52" s="44"/>
      <c r="S52" s="44"/>
      <c r="T52" s="43"/>
      <c r="U52" s="44"/>
      <c r="V52" s="45"/>
    </row>
    <row r="53" spans="1:22">
      <c r="A53" s="12"/>
      <c r="B53" s="12"/>
      <c r="C53" s="12">
        <v>32</v>
      </c>
      <c r="D53" s="66"/>
      <c r="E53" s="67"/>
      <c r="F53" s="67"/>
      <c r="G53" s="67"/>
      <c r="H53" s="14"/>
      <c r="J53" s="66"/>
      <c r="K53" s="67"/>
      <c r="L53" s="67"/>
      <c r="M53" s="67"/>
      <c r="N53" s="14"/>
      <c r="O53" s="38"/>
      <c r="P53" s="43"/>
      <c r="Q53" s="44"/>
      <c r="R53" s="44"/>
      <c r="S53" s="44"/>
      <c r="T53" s="43"/>
      <c r="U53" s="44"/>
      <c r="V53" s="45"/>
    </row>
    <row r="54" ht="12.15" spans="1:22">
      <c r="A54" s="15"/>
      <c r="B54" s="15"/>
      <c r="C54" s="15">
        <v>37</v>
      </c>
      <c r="D54" s="69"/>
      <c r="E54" s="70"/>
      <c r="F54" s="70"/>
      <c r="G54" s="70"/>
      <c r="H54" s="17"/>
      <c r="J54" s="69"/>
      <c r="K54" s="70"/>
      <c r="L54" s="70"/>
      <c r="M54" s="70"/>
      <c r="N54" s="17"/>
      <c r="O54" s="38"/>
      <c r="P54" s="47"/>
      <c r="Q54" s="48"/>
      <c r="R54" s="48"/>
      <c r="S54" s="48"/>
      <c r="T54" s="47"/>
      <c r="U54" s="48"/>
      <c r="V54" s="49"/>
    </row>
    <row r="55" spans="1:22">
      <c r="A55" s="9" t="s">
        <v>36</v>
      </c>
      <c r="B55" s="9" t="s">
        <v>37</v>
      </c>
      <c r="C55" s="9">
        <v>22</v>
      </c>
      <c r="D55" s="63"/>
      <c r="E55" s="64"/>
      <c r="F55" s="64"/>
      <c r="G55" s="64"/>
      <c r="H55" s="11"/>
      <c r="J55" s="63"/>
      <c r="K55" s="64"/>
      <c r="L55" s="64"/>
      <c r="M55" s="64"/>
      <c r="N55" s="11"/>
      <c r="O55" s="38"/>
      <c r="P55" s="39" t="e">
        <f>bdrate($D55:$D58,E55:E58,$J55:$J58,K55:K58)</f>
        <v>#VALUE!</v>
      </c>
      <c r="Q55" s="40" t="e">
        <f>bdrate($D55:$D58,F55:F58,$J55:$J58,L55:L58)</f>
        <v>#VALUE!</v>
      </c>
      <c r="R55" s="40" t="e">
        <f>bdrate($D55:$D58,G55:G58,$J55:$J58,M55:M58)</f>
        <v>#VALUE!</v>
      </c>
      <c r="S55" s="40" t="e">
        <f>bdrate(D55:D58,H55:H58,J55:J58,N55:N58)</f>
        <v>#VALUE!</v>
      </c>
      <c r="T55" s="54" t="e">
        <f>bdrateOld($D55:$D58,E55:E58,$J55:$J58,K55:K58)</f>
        <v>#VALUE!</v>
      </c>
      <c r="U55" s="55" t="e">
        <f>bdrateOld($D55:$D58,F55:F58,$J55:$J58,L55:L58)</f>
        <v>#VALUE!</v>
      </c>
      <c r="V55" s="56" t="e">
        <f>bdrateOld($D55:$D58,G55:G58,$J55:$J58,M55:M58)</f>
        <v>#VALUE!</v>
      </c>
    </row>
    <row r="56" spans="1:22">
      <c r="A56" s="12" t="s">
        <v>38</v>
      </c>
      <c r="B56" s="12"/>
      <c r="C56" s="12">
        <v>27</v>
      </c>
      <c r="D56" s="66"/>
      <c r="E56" s="67"/>
      <c r="F56" s="67"/>
      <c r="G56" s="67"/>
      <c r="H56" s="14"/>
      <c r="J56" s="66"/>
      <c r="K56" s="67"/>
      <c r="L56" s="67"/>
      <c r="M56" s="67"/>
      <c r="N56" s="14"/>
      <c r="O56" s="38"/>
      <c r="P56" s="43"/>
      <c r="Q56" s="44"/>
      <c r="R56" s="44"/>
      <c r="S56" s="44"/>
      <c r="T56" s="43"/>
      <c r="U56" s="44"/>
      <c r="V56" s="45"/>
    </row>
    <row r="57" spans="1:22">
      <c r="A57" s="12"/>
      <c r="B57" s="12"/>
      <c r="C57" s="12">
        <v>32</v>
      </c>
      <c r="D57" s="66"/>
      <c r="E57" s="67"/>
      <c r="F57" s="67"/>
      <c r="G57" s="67"/>
      <c r="H57" s="14"/>
      <c r="J57" s="66"/>
      <c r="K57" s="67"/>
      <c r="L57" s="67"/>
      <c r="M57" s="67"/>
      <c r="N57" s="14"/>
      <c r="O57" s="38"/>
      <c r="P57" s="43"/>
      <c r="Q57" s="44"/>
      <c r="R57" s="44"/>
      <c r="S57" s="44"/>
      <c r="T57" s="43"/>
      <c r="U57" s="44"/>
      <c r="V57" s="45"/>
    </row>
    <row r="58" ht="12.15" spans="1:22">
      <c r="A58" s="12"/>
      <c r="B58" s="15"/>
      <c r="C58" s="15">
        <v>37</v>
      </c>
      <c r="D58" s="69"/>
      <c r="E58" s="70"/>
      <c r="F58" s="70"/>
      <c r="G58" s="70"/>
      <c r="H58" s="17"/>
      <c r="J58" s="69"/>
      <c r="K58" s="70"/>
      <c r="L58" s="70"/>
      <c r="M58" s="70"/>
      <c r="N58" s="17"/>
      <c r="O58" s="38"/>
      <c r="P58" s="47"/>
      <c r="Q58" s="48"/>
      <c r="R58" s="48"/>
      <c r="S58" s="48"/>
      <c r="T58" s="47"/>
      <c r="U58" s="48"/>
      <c r="V58" s="49"/>
    </row>
    <row r="59" spans="1:22">
      <c r="A59" s="12"/>
      <c r="B59" s="9" t="s">
        <v>39</v>
      </c>
      <c r="C59" s="9">
        <v>22</v>
      </c>
      <c r="D59" s="63"/>
      <c r="E59" s="64"/>
      <c r="F59" s="64"/>
      <c r="G59" s="64"/>
      <c r="H59" s="11"/>
      <c r="J59" s="63"/>
      <c r="K59" s="64"/>
      <c r="L59" s="64"/>
      <c r="M59" s="64"/>
      <c r="N59" s="11"/>
      <c r="O59" s="38"/>
      <c r="P59" s="39" t="e">
        <f>bdrate($D59:$D62,E59:E62,$J59:$J62,K59:K62)</f>
        <v>#VALUE!</v>
      </c>
      <c r="Q59" s="40" t="e">
        <f>bdrate($D59:$D62,F59:F62,$J59:$J62,L59:L62)</f>
        <v>#VALUE!</v>
      </c>
      <c r="R59" s="40" t="e">
        <f>bdrate($D59:$D62,G59:G62,$J59:$J62,M59:M62)</f>
        <v>#VALUE!</v>
      </c>
      <c r="S59" s="40" t="e">
        <f>bdrate(D59:D62,H59:H62,J59:J62,N59:N62)</f>
        <v>#VALUE!</v>
      </c>
      <c r="T59" s="54" t="e">
        <f>bdrateOld($D59:$D62,E59:E62,$J59:$J62,K59:K62)</f>
        <v>#VALUE!</v>
      </c>
      <c r="U59" s="55" t="e">
        <f>bdrateOld($D59:$D62,F59:F62,$J59:$J62,L59:L62)</f>
        <v>#VALUE!</v>
      </c>
      <c r="V59" s="56" t="e">
        <f>bdrateOld($D59:$D62,G59:G62,$J59:$J62,M59:M62)</f>
        <v>#VALUE!</v>
      </c>
    </row>
    <row r="60" spans="1:22">
      <c r="A60" s="12"/>
      <c r="B60" s="12"/>
      <c r="C60" s="12">
        <v>27</v>
      </c>
      <c r="D60" s="66"/>
      <c r="E60" s="67"/>
      <c r="F60" s="67"/>
      <c r="G60" s="67"/>
      <c r="H60" s="14"/>
      <c r="J60" s="66"/>
      <c r="K60" s="67"/>
      <c r="L60" s="67"/>
      <c r="M60" s="67"/>
      <c r="N60" s="14"/>
      <c r="O60" s="38"/>
      <c r="P60" s="43"/>
      <c r="Q60" s="44"/>
      <c r="R60" s="44"/>
      <c r="S60" s="44"/>
      <c r="T60" s="43"/>
      <c r="U60" s="44"/>
      <c r="V60" s="45"/>
    </row>
    <row r="61" spans="1:22">
      <c r="A61" s="12"/>
      <c r="B61" s="12"/>
      <c r="C61" s="12">
        <v>32</v>
      </c>
      <c r="D61" s="66"/>
      <c r="E61" s="67"/>
      <c r="F61" s="67"/>
      <c r="G61" s="67"/>
      <c r="H61" s="14"/>
      <c r="J61" s="66"/>
      <c r="K61" s="67"/>
      <c r="L61" s="67"/>
      <c r="M61" s="67"/>
      <c r="N61" s="14"/>
      <c r="O61" s="38"/>
      <c r="P61" s="43"/>
      <c r="Q61" s="44"/>
      <c r="R61" s="44"/>
      <c r="S61" s="44"/>
      <c r="T61" s="43"/>
      <c r="U61" s="44"/>
      <c r="V61" s="45"/>
    </row>
    <row r="62" ht="12.15" spans="1:22">
      <c r="A62" s="12"/>
      <c r="B62" s="15"/>
      <c r="C62" s="15">
        <v>37</v>
      </c>
      <c r="D62" s="69"/>
      <c r="E62" s="70"/>
      <c r="F62" s="70"/>
      <c r="G62" s="70"/>
      <c r="H62" s="17"/>
      <c r="J62" s="69"/>
      <c r="K62" s="70"/>
      <c r="L62" s="70"/>
      <c r="M62" s="70"/>
      <c r="N62" s="17"/>
      <c r="O62" s="38"/>
      <c r="P62" s="47"/>
      <c r="Q62" s="48"/>
      <c r="R62" s="48"/>
      <c r="S62" s="48"/>
      <c r="T62" s="47"/>
      <c r="U62" s="48"/>
      <c r="V62" s="49"/>
    </row>
    <row r="63" spans="1:22">
      <c r="A63" s="12"/>
      <c r="B63" s="9" t="s">
        <v>40</v>
      </c>
      <c r="C63" s="9">
        <v>22</v>
      </c>
      <c r="D63" s="63"/>
      <c r="E63" s="64"/>
      <c r="F63" s="64"/>
      <c r="G63" s="64"/>
      <c r="H63" s="11"/>
      <c r="J63" s="63"/>
      <c r="K63" s="64"/>
      <c r="L63" s="64"/>
      <c r="M63" s="64"/>
      <c r="N63" s="11"/>
      <c r="O63" s="38"/>
      <c r="P63" s="39" t="e">
        <f>bdrate($D63:$D66,E63:E66,$J63:$J66,K63:K66)</f>
        <v>#VALUE!</v>
      </c>
      <c r="Q63" s="40" t="e">
        <f>bdrate($D63:$D66,F63:F66,$J63:$J66,L63:L66)</f>
        <v>#VALUE!</v>
      </c>
      <c r="R63" s="40" t="e">
        <f>bdrate($D63:$D66,G63:G66,$J63:$J66,M63:M66)</f>
        <v>#VALUE!</v>
      </c>
      <c r="S63" s="40" t="e">
        <f>bdrate(D63:D66,H63:H66,J63:J66,N63:N66)</f>
        <v>#VALUE!</v>
      </c>
      <c r="T63" s="54" t="e">
        <f>bdrateOld($D63:$D66,E63:E66,$J63:$J66,K63:K66)</f>
        <v>#VALUE!</v>
      </c>
      <c r="U63" s="55" t="e">
        <f>bdrateOld($D63:$D66,F63:F66,$J63:$J66,L63:L66)</f>
        <v>#VALUE!</v>
      </c>
      <c r="V63" s="56" t="e">
        <f>bdrateOld($D63:$D66,G63:G66,$J63:$J66,M63:M66)</f>
        <v>#VALUE!</v>
      </c>
    </row>
    <row r="64" spans="1:22">
      <c r="A64" s="12"/>
      <c r="B64" s="12"/>
      <c r="C64" s="12">
        <v>27</v>
      </c>
      <c r="D64" s="66"/>
      <c r="E64" s="67"/>
      <c r="F64" s="67"/>
      <c r="G64" s="67"/>
      <c r="H64" s="14"/>
      <c r="J64" s="66"/>
      <c r="K64" s="67"/>
      <c r="L64" s="67"/>
      <c r="M64" s="67"/>
      <c r="N64" s="14"/>
      <c r="O64" s="38"/>
      <c r="P64" s="43"/>
      <c r="Q64" s="44"/>
      <c r="R64" s="44"/>
      <c r="S64" s="44"/>
      <c r="T64" s="43"/>
      <c r="U64" s="44"/>
      <c r="V64" s="45"/>
    </row>
    <row r="65" spans="1:22">
      <c r="A65" s="12"/>
      <c r="B65" s="12"/>
      <c r="C65" s="12">
        <v>32</v>
      </c>
      <c r="D65" s="66"/>
      <c r="E65" s="67"/>
      <c r="F65" s="67"/>
      <c r="G65" s="67"/>
      <c r="H65" s="14"/>
      <c r="J65" s="66"/>
      <c r="K65" s="67"/>
      <c r="L65" s="67"/>
      <c r="M65" s="67"/>
      <c r="N65" s="14"/>
      <c r="O65" s="38"/>
      <c r="P65" s="43"/>
      <c r="Q65" s="44"/>
      <c r="R65" s="44"/>
      <c r="S65" s="44"/>
      <c r="T65" s="43"/>
      <c r="U65" s="44"/>
      <c r="V65" s="45"/>
    </row>
    <row r="66" ht="12.15" spans="1:22">
      <c r="A66" s="12"/>
      <c r="B66" s="15"/>
      <c r="C66" s="15">
        <v>37</v>
      </c>
      <c r="D66" s="69"/>
      <c r="E66" s="70"/>
      <c r="F66" s="70"/>
      <c r="G66" s="70"/>
      <c r="H66" s="17"/>
      <c r="J66" s="69"/>
      <c r="K66" s="70"/>
      <c r="L66" s="70"/>
      <c r="M66" s="70"/>
      <c r="N66" s="17"/>
      <c r="O66" s="38"/>
      <c r="P66" s="47"/>
      <c r="Q66" s="48"/>
      <c r="R66" s="48"/>
      <c r="S66" s="48"/>
      <c r="T66" s="47"/>
      <c r="U66" s="48"/>
      <c r="V66" s="49"/>
    </row>
    <row r="67" spans="1:22">
      <c r="A67" s="12"/>
      <c r="B67" s="9" t="s">
        <v>35</v>
      </c>
      <c r="C67" s="9">
        <v>22</v>
      </c>
      <c r="D67" s="63"/>
      <c r="E67" s="64"/>
      <c r="F67" s="64"/>
      <c r="G67" s="64"/>
      <c r="H67" s="11"/>
      <c r="J67" s="63"/>
      <c r="K67" s="64"/>
      <c r="L67" s="64"/>
      <c r="M67" s="64"/>
      <c r="N67" s="11"/>
      <c r="O67" s="38"/>
      <c r="P67" s="39" t="e">
        <f>bdrate($D67:$D70,E67:E70,$J67:$J70,K67:K70)</f>
        <v>#VALUE!</v>
      </c>
      <c r="Q67" s="40" t="e">
        <f>bdrate($D67:$D70,F67:F70,$J67:$J70,L67:L70)</f>
        <v>#VALUE!</v>
      </c>
      <c r="R67" s="40" t="e">
        <f>bdrate($D67:$D70,G67:G70,$J67:$J70,M67:M70)</f>
        <v>#VALUE!</v>
      </c>
      <c r="S67" s="40" t="e">
        <f>bdrate(D67:D70,H67:H70,J67:J70,N67:N70)</f>
        <v>#VALUE!</v>
      </c>
      <c r="T67" s="54" t="e">
        <f>bdrateOld($D67:$D70,E67:E70,$J67:$J70,K67:K70)</f>
        <v>#VALUE!</v>
      </c>
      <c r="U67" s="55" t="e">
        <f>bdrateOld($D67:$D70,F67:F70,$J67:$J70,L67:L70)</f>
        <v>#VALUE!</v>
      </c>
      <c r="V67" s="56" t="e">
        <f>bdrateOld($D67:$D70,G67:G70,$J67:$J70,M67:M70)</f>
        <v>#VALUE!</v>
      </c>
    </row>
    <row r="68" spans="1:22">
      <c r="A68" s="12"/>
      <c r="B68" s="12"/>
      <c r="C68" s="12">
        <v>27</v>
      </c>
      <c r="D68" s="66"/>
      <c r="E68" s="67"/>
      <c r="F68" s="67"/>
      <c r="G68" s="67"/>
      <c r="H68" s="14"/>
      <c r="J68" s="66"/>
      <c r="K68" s="67"/>
      <c r="L68" s="67"/>
      <c r="M68" s="67"/>
      <c r="N68" s="14"/>
      <c r="O68" s="38"/>
      <c r="P68" s="43"/>
      <c r="Q68" s="44"/>
      <c r="R68" s="44"/>
      <c r="S68" s="44"/>
      <c r="T68" s="43"/>
      <c r="U68" s="44"/>
      <c r="V68" s="45"/>
    </row>
    <row r="69" spans="1:22">
      <c r="A69" s="12"/>
      <c r="B69" s="12"/>
      <c r="C69" s="12">
        <v>32</v>
      </c>
      <c r="D69" s="66"/>
      <c r="E69" s="67"/>
      <c r="F69" s="67"/>
      <c r="G69" s="67"/>
      <c r="H69" s="14"/>
      <c r="J69" s="66"/>
      <c r="K69" s="67"/>
      <c r="L69" s="67"/>
      <c r="M69" s="67"/>
      <c r="N69" s="14"/>
      <c r="O69" s="38"/>
      <c r="P69" s="43"/>
      <c r="Q69" s="44"/>
      <c r="R69" s="44"/>
      <c r="S69" s="44"/>
      <c r="T69" s="43"/>
      <c r="U69" s="44"/>
      <c r="V69" s="45"/>
    </row>
    <row r="70" ht="12.15" spans="1:22">
      <c r="A70" s="15"/>
      <c r="B70" s="15"/>
      <c r="C70" s="15">
        <v>37</v>
      </c>
      <c r="D70" s="69"/>
      <c r="E70" s="70"/>
      <c r="F70" s="70"/>
      <c r="G70" s="70"/>
      <c r="H70" s="17"/>
      <c r="J70" s="69"/>
      <c r="K70" s="70"/>
      <c r="L70" s="70"/>
      <c r="M70" s="70"/>
      <c r="N70" s="17"/>
      <c r="O70" s="38"/>
      <c r="P70" s="47"/>
      <c r="Q70" s="48"/>
      <c r="R70" s="48"/>
      <c r="S70" s="48"/>
      <c r="T70" s="47"/>
      <c r="U70" s="48"/>
      <c r="V70" s="49"/>
    </row>
    <row r="71" spans="1:22">
      <c r="A71" s="9" t="s">
        <v>41</v>
      </c>
      <c r="B71" s="9" t="s">
        <v>42</v>
      </c>
      <c r="C71" s="9">
        <v>22</v>
      </c>
      <c r="D71" s="63"/>
      <c r="E71" s="64"/>
      <c r="F71" s="64"/>
      <c r="G71" s="64"/>
      <c r="H71" s="11"/>
      <c r="J71" s="63"/>
      <c r="K71" s="64"/>
      <c r="L71" s="64"/>
      <c r="M71" s="64"/>
      <c r="N71" s="11"/>
      <c r="O71" s="38"/>
      <c r="P71" s="39" t="e">
        <f>bdrate($D71:$D74,E71:E74,$J71:$J74,K71:K74)</f>
        <v>#VALUE!</v>
      </c>
      <c r="Q71" s="40" t="e">
        <f>bdrate($D71:$D74,F71:F74,$J71:$J74,L71:L74)</f>
        <v>#VALUE!</v>
      </c>
      <c r="R71" s="40" t="e">
        <f>bdrate($D71:$D74,G71:G74,$J71:$J74,M71:M74)</f>
        <v>#VALUE!</v>
      </c>
      <c r="S71" s="40" t="e">
        <f>bdrate(D71:D74,H71:H74,J71:J74,N71:N74)</f>
        <v>#VALUE!</v>
      </c>
      <c r="T71" s="54" t="e">
        <f>bdrateOld($D71:$D74,E71:E74,$J71:$J74,K71:K74)</f>
        <v>#VALUE!</v>
      </c>
      <c r="U71" s="55" t="e">
        <f>bdrateOld($D71:$D74,F71:F74,$J71:$J74,L71:L74)</f>
        <v>#VALUE!</v>
      </c>
      <c r="V71" s="56" t="e">
        <f>bdrateOld($D71:$D74,G71:G74,$J71:$J74,M71:M74)</f>
        <v>#VALUE!</v>
      </c>
    </row>
    <row r="72" spans="1:22">
      <c r="A72" s="12" t="s">
        <v>43</v>
      </c>
      <c r="B72" s="12"/>
      <c r="C72" s="12">
        <v>27</v>
      </c>
      <c r="D72" s="66"/>
      <c r="E72" s="67"/>
      <c r="F72" s="67"/>
      <c r="G72" s="67"/>
      <c r="H72" s="14"/>
      <c r="J72" s="66"/>
      <c r="K72" s="67"/>
      <c r="L72" s="67"/>
      <c r="M72" s="67"/>
      <c r="N72" s="14"/>
      <c r="O72" s="38"/>
      <c r="P72" s="43"/>
      <c r="Q72" s="44"/>
      <c r="R72" s="44"/>
      <c r="S72" s="44"/>
      <c r="T72" s="43"/>
      <c r="U72" s="44"/>
      <c r="V72" s="45"/>
    </row>
    <row r="73" spans="1:22">
      <c r="A73" s="12"/>
      <c r="B73" s="12"/>
      <c r="C73" s="12">
        <v>32</v>
      </c>
      <c r="D73" s="66"/>
      <c r="E73" s="67"/>
      <c r="F73" s="67"/>
      <c r="G73" s="67"/>
      <c r="H73" s="14"/>
      <c r="J73" s="66"/>
      <c r="K73" s="67"/>
      <c r="L73" s="67"/>
      <c r="M73" s="67"/>
      <c r="N73" s="14"/>
      <c r="O73" s="38"/>
      <c r="P73" s="43"/>
      <c r="Q73" s="44"/>
      <c r="R73" s="44"/>
      <c r="S73" s="44"/>
      <c r="T73" s="43"/>
      <c r="U73" s="44"/>
      <c r="V73" s="45"/>
    </row>
    <row r="74" ht="12.15" spans="1:22">
      <c r="A74" s="12"/>
      <c r="B74" s="15"/>
      <c r="C74" s="15">
        <v>37</v>
      </c>
      <c r="D74" s="69"/>
      <c r="E74" s="70"/>
      <c r="F74" s="70"/>
      <c r="G74" s="70"/>
      <c r="H74" s="17"/>
      <c r="J74" s="69"/>
      <c r="K74" s="70"/>
      <c r="L74" s="70"/>
      <c r="M74" s="70"/>
      <c r="N74" s="17"/>
      <c r="O74" s="38"/>
      <c r="P74" s="47"/>
      <c r="Q74" s="48"/>
      <c r="R74" s="48"/>
      <c r="S74" s="48"/>
      <c r="T74" s="47"/>
      <c r="U74" s="48"/>
      <c r="V74" s="49"/>
    </row>
    <row r="75" spans="1:22">
      <c r="A75" s="12"/>
      <c r="B75" s="9" t="s">
        <v>44</v>
      </c>
      <c r="C75" s="9">
        <v>22</v>
      </c>
      <c r="D75" s="63"/>
      <c r="E75" s="64"/>
      <c r="F75" s="64"/>
      <c r="G75" s="64"/>
      <c r="H75" s="11"/>
      <c r="J75" s="63"/>
      <c r="K75" s="64"/>
      <c r="L75" s="64"/>
      <c r="M75" s="64"/>
      <c r="N75" s="11"/>
      <c r="O75" s="38"/>
      <c r="P75" s="39" t="e">
        <f>bdrate($D75:$D78,E75:E78,$J75:$J78,K75:K78)</f>
        <v>#VALUE!</v>
      </c>
      <c r="Q75" s="40" t="e">
        <f>bdrate($D75:$D78,F75:F78,$J75:$J78,L75:L78)</f>
        <v>#VALUE!</v>
      </c>
      <c r="R75" s="40" t="e">
        <f>bdrate($D75:$D78,G75:G78,$J75:$J78,M75:M78)</f>
        <v>#VALUE!</v>
      </c>
      <c r="S75" s="40" t="e">
        <f>bdrate(D75:D78,H75:H78,J75:J78,N75:N78)</f>
        <v>#VALUE!</v>
      </c>
      <c r="T75" s="54" t="e">
        <f>bdrateOld($D75:$D78,E75:E78,$J75:$J78,K75:K78)</f>
        <v>#VALUE!</v>
      </c>
      <c r="U75" s="55" t="e">
        <f>bdrateOld($D75:$D78,F75:F78,$J75:$J78,L75:L78)</f>
        <v>#VALUE!</v>
      </c>
      <c r="V75" s="56" t="e">
        <f>bdrateOld($D75:$D78,G75:G78,$J75:$J78,M75:M78)</f>
        <v>#VALUE!</v>
      </c>
    </row>
    <row r="76" spans="1:22">
      <c r="A76" s="12"/>
      <c r="B76" s="12"/>
      <c r="C76" s="12">
        <v>27</v>
      </c>
      <c r="D76" s="66"/>
      <c r="E76" s="67"/>
      <c r="F76" s="67"/>
      <c r="G76" s="67"/>
      <c r="H76" s="14"/>
      <c r="J76" s="66"/>
      <c r="K76" s="67"/>
      <c r="L76" s="67"/>
      <c r="M76" s="67"/>
      <c r="N76" s="14"/>
      <c r="O76" s="38"/>
      <c r="P76" s="43"/>
      <c r="Q76" s="44"/>
      <c r="R76" s="44"/>
      <c r="S76" s="44"/>
      <c r="T76" s="43"/>
      <c r="U76" s="44"/>
      <c r="V76" s="45"/>
    </row>
    <row r="77" spans="1:22">
      <c r="A77" s="12"/>
      <c r="B77" s="12"/>
      <c r="C77" s="12">
        <v>32</v>
      </c>
      <c r="D77" s="66"/>
      <c r="E77" s="67"/>
      <c r="F77" s="67"/>
      <c r="G77" s="67"/>
      <c r="H77" s="14"/>
      <c r="J77" s="66"/>
      <c r="K77" s="67"/>
      <c r="L77" s="67"/>
      <c r="M77" s="67"/>
      <c r="N77" s="14"/>
      <c r="O77" s="38"/>
      <c r="P77" s="43"/>
      <c r="Q77" s="44"/>
      <c r="R77" s="44"/>
      <c r="S77" s="44"/>
      <c r="T77" s="43"/>
      <c r="U77" s="44"/>
      <c r="V77" s="45"/>
    </row>
    <row r="78" ht="12.15" spans="1:22">
      <c r="A78" s="12"/>
      <c r="B78" s="15"/>
      <c r="C78" s="15">
        <v>37</v>
      </c>
      <c r="D78" s="69"/>
      <c r="E78" s="70"/>
      <c r="F78" s="70"/>
      <c r="G78" s="70"/>
      <c r="H78" s="17"/>
      <c r="J78" s="69"/>
      <c r="K78" s="70"/>
      <c r="L78" s="70"/>
      <c r="M78" s="70"/>
      <c r="N78" s="17"/>
      <c r="O78" s="38"/>
      <c r="P78" s="47"/>
      <c r="Q78" s="48"/>
      <c r="R78" s="48"/>
      <c r="S78" s="48"/>
      <c r="T78" s="47"/>
      <c r="U78" s="48"/>
      <c r="V78" s="49"/>
    </row>
    <row r="79" spans="1:22">
      <c r="A79" s="12"/>
      <c r="B79" s="9" t="s">
        <v>45</v>
      </c>
      <c r="C79" s="9">
        <v>22</v>
      </c>
      <c r="D79" s="63"/>
      <c r="E79" s="64"/>
      <c r="F79" s="64"/>
      <c r="G79" s="64"/>
      <c r="H79" s="11"/>
      <c r="J79" s="63"/>
      <c r="K79" s="64"/>
      <c r="L79" s="64"/>
      <c r="M79" s="64"/>
      <c r="N79" s="11"/>
      <c r="O79" s="38"/>
      <c r="P79" s="39" t="e">
        <f>bdrate($D79:$D82,E79:E82,$J79:$J82,K79:K82)</f>
        <v>#VALUE!</v>
      </c>
      <c r="Q79" s="40" t="e">
        <f>bdrate($D79:$D82,F79:F82,$J79:$J82,L79:L82)</f>
        <v>#VALUE!</v>
      </c>
      <c r="R79" s="40" t="e">
        <f>bdrate($D79:$D82,G79:G82,$J79:$J82,M79:M82)</f>
        <v>#VALUE!</v>
      </c>
      <c r="S79" s="40" t="e">
        <f>bdrate(D79:D82,H79:H82,J79:J82,N79:N82)</f>
        <v>#VALUE!</v>
      </c>
      <c r="T79" s="54" t="e">
        <f>bdrateOld($D79:$D82,E79:E82,$J79:$J82,K79:K82)</f>
        <v>#VALUE!</v>
      </c>
      <c r="U79" s="55" t="e">
        <f>bdrateOld($D79:$D82,F79:F82,$J79:$J82,L79:L82)</f>
        <v>#VALUE!</v>
      </c>
      <c r="V79" s="56" t="e">
        <f>bdrateOld($D79:$D82,G79:G82,$J79:$J82,M79:M82)</f>
        <v>#VALUE!</v>
      </c>
    </row>
    <row r="80" spans="1:22">
      <c r="A80" s="12"/>
      <c r="B80" s="12"/>
      <c r="C80" s="12">
        <v>27</v>
      </c>
      <c r="D80" s="66"/>
      <c r="E80" s="67"/>
      <c r="F80" s="67"/>
      <c r="G80" s="67"/>
      <c r="H80" s="14"/>
      <c r="J80" s="66"/>
      <c r="K80" s="67"/>
      <c r="L80" s="67"/>
      <c r="M80" s="67"/>
      <c r="N80" s="14"/>
      <c r="O80" s="38"/>
      <c r="P80" s="43"/>
      <c r="Q80" s="44"/>
      <c r="R80" s="44"/>
      <c r="S80" s="44"/>
      <c r="T80" s="43"/>
      <c r="U80" s="44"/>
      <c r="V80" s="45"/>
    </row>
    <row r="81" spans="1:22">
      <c r="A81" s="12"/>
      <c r="B81" s="12"/>
      <c r="C81" s="12">
        <v>32</v>
      </c>
      <c r="D81" s="66"/>
      <c r="E81" s="67"/>
      <c r="F81" s="67"/>
      <c r="G81" s="67"/>
      <c r="H81" s="14"/>
      <c r="J81" s="66"/>
      <c r="K81" s="67"/>
      <c r="L81" s="67"/>
      <c r="M81" s="67"/>
      <c r="N81" s="14"/>
      <c r="O81" s="38"/>
      <c r="P81" s="43"/>
      <c r="Q81" s="44"/>
      <c r="R81" s="44"/>
      <c r="S81" s="44"/>
      <c r="T81" s="43"/>
      <c r="U81" s="44"/>
      <c r="V81" s="45"/>
    </row>
    <row r="82" ht="12.15" spans="1:22">
      <c r="A82" s="15"/>
      <c r="B82" s="15"/>
      <c r="C82" s="15">
        <v>37</v>
      </c>
      <c r="D82" s="69"/>
      <c r="E82" s="70"/>
      <c r="F82" s="70"/>
      <c r="G82" s="70"/>
      <c r="H82" s="17"/>
      <c r="J82" s="69"/>
      <c r="K82" s="70"/>
      <c r="L82" s="70"/>
      <c r="M82" s="70"/>
      <c r="N82" s="17"/>
      <c r="O82" s="38"/>
      <c r="P82" s="47"/>
      <c r="Q82" s="48"/>
      <c r="R82" s="48"/>
      <c r="S82" s="48"/>
      <c r="T82" s="47"/>
      <c r="U82" s="48"/>
      <c r="V82" s="49"/>
    </row>
    <row r="83" spans="1:22">
      <c r="A83" s="9" t="s">
        <v>46</v>
      </c>
      <c r="B83" s="9" t="s">
        <v>47</v>
      </c>
      <c r="C83" s="9">
        <v>22</v>
      </c>
      <c r="D83" s="63"/>
      <c r="E83" s="64"/>
      <c r="F83" s="64"/>
      <c r="G83" s="64"/>
      <c r="H83" s="11"/>
      <c r="J83" s="63"/>
      <c r="K83" s="64"/>
      <c r="L83" s="64"/>
      <c r="M83" s="64"/>
      <c r="N83" s="11"/>
      <c r="O83" s="38"/>
      <c r="P83" s="39" t="e">
        <f>bdrate($D83:$D86,E83:E86,$J83:$J86,K83:K86)</f>
        <v>#VALUE!</v>
      </c>
      <c r="Q83" s="40" t="e">
        <f>bdrate($D83:$D86,F83:F86,$J83:$J86,L83:L86)</f>
        <v>#VALUE!</v>
      </c>
      <c r="R83" s="40" t="e">
        <f>bdrate($D83:$D86,G83:G86,$J83:$J86,M83:M86)</f>
        <v>#VALUE!</v>
      </c>
      <c r="S83" s="40" t="e">
        <f>bdrate(D83:D86,H83:H86,J83:J86,N83:N86)</f>
        <v>#VALUE!</v>
      </c>
      <c r="T83" s="54" t="e">
        <f>bdrateOld($D83:$D86,E83:E86,$J83:$J86,K83:K86)</f>
        <v>#VALUE!</v>
      </c>
      <c r="U83" s="55" t="e">
        <f>bdrateOld($D83:$D86,F83:F86,$J83:$J86,L83:L86)</f>
        <v>#VALUE!</v>
      </c>
      <c r="V83" s="56" t="e">
        <f>bdrateOld($D83:$D86,G83:G86,$J83:$J86,M83:M86)</f>
        <v>#VALUE!</v>
      </c>
    </row>
    <row r="84" spans="1:22">
      <c r="A84" s="12" t="s">
        <v>48</v>
      </c>
      <c r="B84" s="12"/>
      <c r="C84" s="12">
        <v>27</v>
      </c>
      <c r="D84" s="66"/>
      <c r="E84" s="67"/>
      <c r="F84" s="67"/>
      <c r="G84" s="67"/>
      <c r="H84" s="14"/>
      <c r="J84" s="66"/>
      <c r="K84" s="67"/>
      <c r="L84" s="67"/>
      <c r="M84" s="67"/>
      <c r="N84" s="14"/>
      <c r="O84" s="38"/>
      <c r="P84" s="43"/>
      <c r="Q84" s="44"/>
      <c r="R84" s="44"/>
      <c r="S84" s="44"/>
      <c r="T84" s="43"/>
      <c r="U84" s="44"/>
      <c r="V84" s="45"/>
    </row>
    <row r="85" spans="1:22">
      <c r="A85" s="12"/>
      <c r="B85" s="12"/>
      <c r="C85" s="12">
        <v>32</v>
      </c>
      <c r="D85" s="66"/>
      <c r="E85" s="67"/>
      <c r="F85" s="67"/>
      <c r="G85" s="67"/>
      <c r="H85" s="14"/>
      <c r="J85" s="66"/>
      <c r="K85" s="67"/>
      <c r="L85" s="67"/>
      <c r="M85" s="67"/>
      <c r="N85" s="14"/>
      <c r="O85" s="38"/>
      <c r="P85" s="43"/>
      <c r="Q85" s="44"/>
      <c r="R85" s="44"/>
      <c r="S85" s="44"/>
      <c r="T85" s="43"/>
      <c r="U85" s="44"/>
      <c r="V85" s="45"/>
    </row>
    <row r="86" ht="12.15" spans="1:22">
      <c r="A86" s="12"/>
      <c r="B86" s="15"/>
      <c r="C86" s="15">
        <v>37</v>
      </c>
      <c r="D86" s="69"/>
      <c r="E86" s="70"/>
      <c r="F86" s="70"/>
      <c r="G86" s="70"/>
      <c r="H86" s="17"/>
      <c r="J86" s="69"/>
      <c r="K86" s="70"/>
      <c r="L86" s="70"/>
      <c r="M86" s="70"/>
      <c r="N86" s="17"/>
      <c r="O86" s="38"/>
      <c r="P86" s="47"/>
      <c r="Q86" s="48"/>
      <c r="R86" s="48"/>
      <c r="S86" s="48"/>
      <c r="T86" s="47"/>
      <c r="U86" s="48"/>
      <c r="V86" s="49"/>
    </row>
    <row r="87" spans="1:22">
      <c r="A87" s="12"/>
      <c r="B87" s="9" t="s">
        <v>49</v>
      </c>
      <c r="C87" s="9">
        <v>22</v>
      </c>
      <c r="D87" s="63"/>
      <c r="E87" s="64"/>
      <c r="F87" s="64"/>
      <c r="G87" s="64"/>
      <c r="H87" s="11"/>
      <c r="J87" s="63"/>
      <c r="K87" s="64"/>
      <c r="L87" s="64"/>
      <c r="M87" s="64"/>
      <c r="N87" s="11"/>
      <c r="O87" s="38"/>
      <c r="P87" s="39" t="e">
        <f>bdrate($D87:$D90,E87:E90,$J87:$J90,K87:K90)</f>
        <v>#VALUE!</v>
      </c>
      <c r="Q87" s="40" t="e">
        <f>bdrate($D87:$D90,F87:F90,$J87:$J90,L87:L90)</f>
        <v>#VALUE!</v>
      </c>
      <c r="R87" s="40" t="e">
        <f>bdrate($D87:$D90,G87:G90,$J87:$J90,M87:M90)</f>
        <v>#VALUE!</v>
      </c>
      <c r="S87" s="40" t="e">
        <f>bdrate(D87:D90,H87:H90,J87:J90,N87:N90)</f>
        <v>#VALUE!</v>
      </c>
      <c r="T87" s="54" t="e">
        <f>bdrateOld($D87:$D90,E87:E90,$J87:$J90,K87:K90)</f>
        <v>#VALUE!</v>
      </c>
      <c r="U87" s="55" t="e">
        <f>bdrateOld($D87:$D90,F87:F90,$J87:$J90,L87:L90)</f>
        <v>#VALUE!</v>
      </c>
      <c r="V87" s="56" t="e">
        <f>bdrateOld($D87:$D90,G87:G90,$J87:$J90,M87:M90)</f>
        <v>#VALUE!</v>
      </c>
    </row>
    <row r="88" spans="1:22">
      <c r="A88" s="12"/>
      <c r="B88" s="12"/>
      <c r="C88" s="12">
        <v>27</v>
      </c>
      <c r="D88" s="66"/>
      <c r="E88" s="67"/>
      <c r="F88" s="67"/>
      <c r="G88" s="67"/>
      <c r="H88" s="14"/>
      <c r="J88" s="66"/>
      <c r="K88" s="67"/>
      <c r="L88" s="67"/>
      <c r="M88" s="67"/>
      <c r="N88" s="14"/>
      <c r="O88" s="38"/>
      <c r="P88" s="43"/>
      <c r="Q88" s="44"/>
      <c r="R88" s="44"/>
      <c r="S88" s="44"/>
      <c r="T88" s="43"/>
      <c r="U88" s="44"/>
      <c r="V88" s="45"/>
    </row>
    <row r="89" spans="1:22">
      <c r="A89" s="12"/>
      <c r="B89" s="12"/>
      <c r="C89" s="12">
        <v>32</v>
      </c>
      <c r="D89" s="66"/>
      <c r="E89" s="67"/>
      <c r="F89" s="67"/>
      <c r="G89" s="67"/>
      <c r="H89" s="14"/>
      <c r="J89" s="66"/>
      <c r="K89" s="67"/>
      <c r="L89" s="67"/>
      <c r="M89" s="67"/>
      <c r="N89" s="14"/>
      <c r="O89" s="38"/>
      <c r="P89" s="43"/>
      <c r="Q89" s="44"/>
      <c r="R89" s="44"/>
      <c r="S89" s="44"/>
      <c r="T89" s="43"/>
      <c r="U89" s="44"/>
      <c r="V89" s="45"/>
    </row>
    <row r="90" ht="12.15" spans="1:22">
      <c r="A90" s="12"/>
      <c r="B90" s="15"/>
      <c r="C90" s="15">
        <v>37</v>
      </c>
      <c r="D90" s="69"/>
      <c r="E90" s="70"/>
      <c r="F90" s="70"/>
      <c r="G90" s="70"/>
      <c r="H90" s="17"/>
      <c r="J90" s="69"/>
      <c r="K90" s="70"/>
      <c r="L90" s="70"/>
      <c r="M90" s="70"/>
      <c r="N90" s="17"/>
      <c r="O90" s="38"/>
      <c r="P90" s="47"/>
      <c r="Q90" s="48"/>
      <c r="R90" s="48"/>
      <c r="S90" s="48"/>
      <c r="T90" s="47"/>
      <c r="U90" s="48"/>
      <c r="V90" s="49"/>
    </row>
    <row r="91" spans="1:22">
      <c r="A91" s="12"/>
      <c r="B91" s="9" t="s">
        <v>50</v>
      </c>
      <c r="C91" s="9">
        <v>22</v>
      </c>
      <c r="D91" s="63"/>
      <c r="E91" s="64"/>
      <c r="F91" s="64"/>
      <c r="G91" s="64"/>
      <c r="H91" s="11"/>
      <c r="J91" s="63"/>
      <c r="K91" s="64"/>
      <c r="L91" s="64"/>
      <c r="M91" s="64"/>
      <c r="N91" s="11"/>
      <c r="O91" s="38"/>
      <c r="P91" s="39" t="e">
        <f>bdrate($D91:$D94,E91:E94,$J91:$J94,K91:K94)</f>
        <v>#VALUE!</v>
      </c>
      <c r="Q91" s="40" t="e">
        <f>bdrate($D91:$D94,F91:F94,$J91:$J94,L91:L94)</f>
        <v>#VALUE!</v>
      </c>
      <c r="R91" s="40" t="e">
        <f>bdrate($D91:$D94,G91:G94,$J91:$J94,M91:M94)</f>
        <v>#VALUE!</v>
      </c>
      <c r="S91" s="40" t="e">
        <f>bdrate(D91:D94,H91:H94,J91:J94,N91:N94)</f>
        <v>#VALUE!</v>
      </c>
      <c r="T91" s="54" t="e">
        <f>bdrateOld($D91:$D94,E91:E94,$J91:$J94,K91:K94)</f>
        <v>#VALUE!</v>
      </c>
      <c r="U91" s="55" t="e">
        <f>bdrateOld($D91:$D94,F91:F94,$J91:$J94,L91:L94)</f>
        <v>#VALUE!</v>
      </c>
      <c r="V91" s="56" t="e">
        <f>bdrateOld($D91:$D94,G91:G94,$J91:$J94,M91:M94)</f>
        <v>#VALUE!</v>
      </c>
    </row>
    <row r="92" spans="1:22">
      <c r="A92" s="12"/>
      <c r="B92" s="12"/>
      <c r="C92" s="12">
        <v>27</v>
      </c>
      <c r="D92" s="66"/>
      <c r="E92" s="67"/>
      <c r="F92" s="67"/>
      <c r="G92" s="67"/>
      <c r="H92" s="14"/>
      <c r="J92" s="66"/>
      <c r="K92" s="67"/>
      <c r="L92" s="67"/>
      <c r="M92" s="67"/>
      <c r="N92" s="14"/>
      <c r="O92" s="38"/>
      <c r="P92" s="43"/>
      <c r="Q92" s="44"/>
      <c r="R92" s="44"/>
      <c r="S92" s="44"/>
      <c r="T92" s="43"/>
      <c r="U92" s="44"/>
      <c r="V92" s="45"/>
    </row>
    <row r="93" spans="1:22">
      <c r="A93" s="12"/>
      <c r="B93" s="12"/>
      <c r="C93" s="12">
        <v>32</v>
      </c>
      <c r="D93" s="66"/>
      <c r="E93" s="67"/>
      <c r="F93" s="67"/>
      <c r="G93" s="67"/>
      <c r="H93" s="14"/>
      <c r="J93" s="66"/>
      <c r="K93" s="67"/>
      <c r="L93" s="67"/>
      <c r="M93" s="67"/>
      <c r="N93" s="14"/>
      <c r="O93" s="38"/>
      <c r="P93" s="43"/>
      <c r="Q93" s="44"/>
      <c r="R93" s="44"/>
      <c r="S93" s="44"/>
      <c r="T93" s="43"/>
      <c r="U93" s="44"/>
      <c r="V93" s="45"/>
    </row>
    <row r="94" ht="12.15" spans="1:22">
      <c r="A94" s="12"/>
      <c r="B94" s="15"/>
      <c r="C94" s="15">
        <v>37</v>
      </c>
      <c r="D94" s="69"/>
      <c r="E94" s="70"/>
      <c r="F94" s="70"/>
      <c r="G94" s="70"/>
      <c r="H94" s="17"/>
      <c r="J94" s="69"/>
      <c r="K94" s="70"/>
      <c r="L94" s="70"/>
      <c r="M94" s="70"/>
      <c r="N94" s="17"/>
      <c r="O94" s="38"/>
      <c r="P94" s="47"/>
      <c r="Q94" s="48"/>
      <c r="R94" s="48"/>
      <c r="S94" s="48"/>
      <c r="T94" s="47"/>
      <c r="U94" s="48"/>
      <c r="V94" s="49"/>
    </row>
    <row r="95" spans="1:22">
      <c r="A95" s="12"/>
      <c r="B95" s="9" t="s">
        <v>51</v>
      </c>
      <c r="C95" s="9">
        <v>22</v>
      </c>
      <c r="D95" s="63"/>
      <c r="E95" s="64"/>
      <c r="F95" s="64"/>
      <c r="G95" s="64"/>
      <c r="H95" s="11"/>
      <c r="J95" s="63"/>
      <c r="K95" s="64"/>
      <c r="L95" s="64"/>
      <c r="M95" s="64"/>
      <c r="N95" s="11"/>
      <c r="O95" s="38"/>
      <c r="P95" s="39" t="e">
        <f>bdrate($D95:$D98,E95:E98,$J95:$J98,K95:K98)</f>
        <v>#VALUE!</v>
      </c>
      <c r="Q95" s="40" t="e">
        <f>bdrate($D95:$D98,F95:F98,$J95:$J98,L95:L98)</f>
        <v>#VALUE!</v>
      </c>
      <c r="R95" s="40" t="e">
        <f>bdrate($D95:$D98,G95:G98,$J95:$J98,M95:M98)</f>
        <v>#VALUE!</v>
      </c>
      <c r="S95" s="40" t="e">
        <f>bdrate(D95:D98,H95:H98,J95:J98,N95:N98)</f>
        <v>#VALUE!</v>
      </c>
      <c r="T95" s="54" t="e">
        <f>bdrateOld($D95:$D98,E95:E98,$J95:$J98,K95:K98)</f>
        <v>#VALUE!</v>
      </c>
      <c r="U95" s="55" t="e">
        <f>bdrateOld($D95:$D98,F95:F98,$J95:$J98,L95:L98)</f>
        <v>#VALUE!</v>
      </c>
      <c r="V95" s="56" t="e">
        <f>bdrateOld($D95:$D98,G95:G98,$J95:$J98,M95:M98)</f>
        <v>#VALUE!</v>
      </c>
    </row>
    <row r="96" spans="1:22">
      <c r="A96" s="12"/>
      <c r="B96" s="12"/>
      <c r="C96" s="12">
        <v>27</v>
      </c>
      <c r="D96" s="66"/>
      <c r="E96" s="67"/>
      <c r="F96" s="67"/>
      <c r="G96" s="67"/>
      <c r="H96" s="14"/>
      <c r="J96" s="66"/>
      <c r="K96" s="67"/>
      <c r="L96" s="67"/>
      <c r="M96" s="67"/>
      <c r="N96" s="14"/>
      <c r="O96" s="38"/>
      <c r="P96" s="43"/>
      <c r="Q96" s="44"/>
      <c r="R96" s="44"/>
      <c r="S96" s="44"/>
      <c r="T96" s="43"/>
      <c r="U96" s="44"/>
      <c r="V96" s="45"/>
    </row>
    <row r="97" spans="1:22">
      <c r="A97" s="12"/>
      <c r="B97" s="12"/>
      <c r="C97" s="12">
        <v>32</v>
      </c>
      <c r="D97" s="66"/>
      <c r="E97" s="67"/>
      <c r="F97" s="67"/>
      <c r="G97" s="67"/>
      <c r="H97" s="14"/>
      <c r="J97" s="66"/>
      <c r="K97" s="67"/>
      <c r="L97" s="67"/>
      <c r="M97" s="67"/>
      <c r="N97" s="14"/>
      <c r="O97" s="38"/>
      <c r="P97" s="43"/>
      <c r="Q97" s="44"/>
      <c r="R97" s="44"/>
      <c r="S97" s="44"/>
      <c r="T97" s="43"/>
      <c r="U97" s="44"/>
      <c r="V97" s="45"/>
    </row>
    <row r="98" ht="12.15" spans="1:22">
      <c r="A98" s="15"/>
      <c r="B98" s="15"/>
      <c r="C98" s="15">
        <v>37</v>
      </c>
      <c r="D98" s="69"/>
      <c r="E98" s="70"/>
      <c r="F98" s="70"/>
      <c r="G98" s="70"/>
      <c r="H98" s="17"/>
      <c r="J98" s="69"/>
      <c r="K98" s="70"/>
      <c r="L98" s="70"/>
      <c r="M98" s="70"/>
      <c r="N98" s="17"/>
      <c r="O98" s="38"/>
      <c r="P98" s="47"/>
      <c r="Q98" s="48"/>
      <c r="R98" s="48"/>
      <c r="S98" s="48"/>
      <c r="T98" s="47"/>
      <c r="U98" s="48"/>
      <c r="V98" s="49"/>
    </row>
    <row r="99" spans="2:22">
      <c r="B99" s="1" t="s">
        <v>17</v>
      </c>
      <c r="P99" s="39"/>
      <c r="Q99" s="40"/>
      <c r="R99" s="40"/>
      <c r="S99" s="40"/>
      <c r="T99" s="39"/>
      <c r="U99" s="40"/>
      <c r="V99" s="41"/>
    </row>
    <row r="100" spans="2:22">
      <c r="B100" s="1" t="s">
        <v>23</v>
      </c>
      <c r="P100" s="54" t="e">
        <f t="shared" ref="P100:V100" si="0">AVERAGE(P19,P23,P27,P31,P35)</f>
        <v>#VALUE!</v>
      </c>
      <c r="Q100" s="55" t="e">
        <f t="shared" si="0"/>
        <v>#VALUE!</v>
      </c>
      <c r="R100" s="55" t="e">
        <f t="shared" si="0"/>
        <v>#VALUE!</v>
      </c>
      <c r="S100" s="55" t="e">
        <f t="shared" si="0"/>
        <v>#VALUE!</v>
      </c>
      <c r="T100" s="54" t="e">
        <f t="shared" si="0"/>
        <v>#VALUE!</v>
      </c>
      <c r="U100" s="55" t="e">
        <f t="shared" si="0"/>
        <v>#VALUE!</v>
      </c>
      <c r="V100" s="56" t="e">
        <f t="shared" si="0"/>
        <v>#VALUE!</v>
      </c>
    </row>
    <row r="101" spans="2:22">
      <c r="B101" s="1" t="s">
        <v>30</v>
      </c>
      <c r="P101" s="54" t="e">
        <f t="shared" ref="P101:V101" si="1">AVERAGE(P39,P43,P47,P51)</f>
        <v>#VALUE!</v>
      </c>
      <c r="Q101" s="55" t="e">
        <f t="shared" si="1"/>
        <v>#VALUE!</v>
      </c>
      <c r="R101" s="55" t="e">
        <f t="shared" si="1"/>
        <v>#VALUE!</v>
      </c>
      <c r="S101" s="55" t="e">
        <f t="shared" si="1"/>
        <v>#VALUE!</v>
      </c>
      <c r="T101" s="54" t="e">
        <f t="shared" si="1"/>
        <v>#VALUE!</v>
      </c>
      <c r="U101" s="55" t="e">
        <f t="shared" si="1"/>
        <v>#VALUE!</v>
      </c>
      <c r="V101" s="56" t="e">
        <f t="shared" si="1"/>
        <v>#VALUE!</v>
      </c>
    </row>
    <row r="102" spans="2:22">
      <c r="B102" s="1" t="s">
        <v>36</v>
      </c>
      <c r="P102" s="54" t="e">
        <f t="shared" ref="P102:V102" si="2">AVERAGE(P55,P59,P63,P67)</f>
        <v>#VALUE!</v>
      </c>
      <c r="Q102" s="55" t="e">
        <f t="shared" si="2"/>
        <v>#VALUE!</v>
      </c>
      <c r="R102" s="55" t="e">
        <f t="shared" si="2"/>
        <v>#VALUE!</v>
      </c>
      <c r="S102" s="55" t="e">
        <f t="shared" si="2"/>
        <v>#VALUE!</v>
      </c>
      <c r="T102" s="54" t="e">
        <f t="shared" si="2"/>
        <v>#VALUE!</v>
      </c>
      <c r="U102" s="55" t="e">
        <f t="shared" si="2"/>
        <v>#VALUE!</v>
      </c>
      <c r="V102" s="56" t="e">
        <f t="shared" si="2"/>
        <v>#VALUE!</v>
      </c>
    </row>
    <row r="103" spans="2:22">
      <c r="B103" s="1" t="s">
        <v>52</v>
      </c>
      <c r="P103" s="54" t="e">
        <f>AVERAGE(P71,P75,P79)</f>
        <v>#VALUE!</v>
      </c>
      <c r="Q103" s="55" t="e">
        <f t="shared" ref="Q103:V103" si="3">AVERAGE(Q71,Q75,Q79)</f>
        <v>#VALUE!</v>
      </c>
      <c r="R103" s="55" t="e">
        <f t="shared" si="3"/>
        <v>#VALUE!</v>
      </c>
      <c r="S103" s="56" t="e">
        <f t="shared" si="3"/>
        <v>#VALUE!</v>
      </c>
      <c r="T103" s="54" t="e">
        <f t="shared" si="3"/>
        <v>#VALUE!</v>
      </c>
      <c r="U103" s="55" t="e">
        <f t="shared" si="3"/>
        <v>#VALUE!</v>
      </c>
      <c r="V103" s="56" t="e">
        <f t="shared" si="3"/>
        <v>#VALUE!</v>
      </c>
    </row>
    <row r="104" ht="12.15" spans="2:22">
      <c r="B104" s="1" t="s">
        <v>46</v>
      </c>
      <c r="P104" s="54" t="e">
        <f>AVERAGE(P83,P87,P91,P95)</f>
        <v>#VALUE!</v>
      </c>
      <c r="Q104" s="55" t="e">
        <f t="shared" ref="Q104:V104" si="4">AVERAGE(Q83,Q87,Q91,Q95)</f>
        <v>#VALUE!</v>
      </c>
      <c r="R104" s="55" t="e">
        <f t="shared" si="4"/>
        <v>#VALUE!</v>
      </c>
      <c r="S104" s="56" t="e">
        <f t="shared" si="4"/>
        <v>#VALUE!</v>
      </c>
      <c r="T104" s="54" t="e">
        <f t="shared" si="4"/>
        <v>#VALUE!</v>
      </c>
      <c r="U104" s="55" t="e">
        <f t="shared" si="4"/>
        <v>#VALUE!</v>
      </c>
      <c r="V104" s="56" t="e">
        <f t="shared" si="4"/>
        <v>#VALUE!</v>
      </c>
    </row>
    <row r="105" ht="12.15" spans="1:22">
      <c r="A105" s="4"/>
      <c r="B105" s="5" t="s">
        <v>53</v>
      </c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8" t="e">
        <f>AVERAGE(P19:P98)</f>
        <v>#VALUE!</v>
      </c>
      <c r="Q105" s="58" t="e">
        <f t="shared" ref="Q105:V105" si="5">AVERAGE(Q19:Q98)</f>
        <v>#VALUE!</v>
      </c>
      <c r="R105" s="58" t="e">
        <f t="shared" si="5"/>
        <v>#VALUE!</v>
      </c>
      <c r="S105" s="58" t="e">
        <f t="shared" si="5"/>
        <v>#VALUE!</v>
      </c>
      <c r="T105" s="58" t="e">
        <f t="shared" si="5"/>
        <v>#VALUE!</v>
      </c>
      <c r="U105" s="58" t="e">
        <f t="shared" si="5"/>
        <v>#VALUE!</v>
      </c>
      <c r="V105" s="58" t="e">
        <f t="shared" si="5"/>
        <v>#VALUE!</v>
      </c>
    </row>
    <row r="106" spans="2:14">
      <c r="B106" s="1" t="s">
        <v>54</v>
      </c>
      <c r="H106" s="57"/>
      <c r="N106" s="57"/>
    </row>
    <row r="107" spans="2:14">
      <c r="B107" s="1" t="s">
        <v>55</v>
      </c>
      <c r="N107" s="60"/>
    </row>
    <row r="108" spans="2:14">
      <c r="B108" s="1" t="s">
        <v>56</v>
      </c>
      <c r="H108" s="57"/>
      <c r="N108" s="57"/>
    </row>
    <row r="109" spans="16:19">
      <c r="P109" s="71" t="e">
        <f>AVERAGE(P19:P82)</f>
        <v>#VALUE!</v>
      </c>
      <c r="Q109" s="71" t="e">
        <f t="shared" ref="Q109:S109" si="6">AVERAGE(Q19:Q82)</f>
        <v>#VALUE!</v>
      </c>
      <c r="R109" s="71" t="e">
        <f t="shared" si="6"/>
        <v>#VALUE!</v>
      </c>
      <c r="S109" s="71" t="e">
        <f t="shared" si="6"/>
        <v>#VALUE!</v>
      </c>
    </row>
  </sheetData>
  <mergeCells count="4">
    <mergeCell ref="D1:H1"/>
    <mergeCell ref="J1:N1"/>
    <mergeCell ref="P1:R1"/>
    <mergeCell ref="T1:V1"/>
  </mergeCells>
  <conditionalFormatting sqref="P3">
    <cfRule type="cellIs" dxfId="0" priority="35" operator="greaterThan">
      <formula>0.03</formula>
    </cfRule>
    <cfRule type="cellIs" dxfId="1" priority="36" stopIfTrue="1" operator="lessThan">
      <formula>-0.03</formula>
    </cfRule>
  </conditionalFormatting>
  <conditionalFormatting sqref="T3">
    <cfRule type="cellIs" dxfId="0" priority="173" operator="greaterThan">
      <formula>0.03</formula>
    </cfRule>
    <cfRule type="cellIs" dxfId="1" priority="174" stopIfTrue="1" operator="lessThan">
      <formula>-0.03</formula>
    </cfRule>
  </conditionalFormatting>
  <conditionalFormatting sqref="U3">
    <cfRule type="cellIs" dxfId="0" priority="171" operator="greaterThan">
      <formula>0.03</formula>
    </cfRule>
    <cfRule type="cellIs" dxfId="1" priority="172" stopIfTrue="1" operator="lessThan">
      <formula>-0.03</formula>
    </cfRule>
  </conditionalFormatting>
  <conditionalFormatting sqref="V3">
    <cfRule type="cellIs" dxfId="0" priority="169" operator="greaterThan">
      <formula>0.03</formula>
    </cfRule>
    <cfRule type="cellIs" dxfId="1" priority="170" stopIfTrue="1" operator="lessThan">
      <formula>-0.03</formula>
    </cfRule>
  </conditionalFormatting>
  <conditionalFormatting sqref="T6:U6">
    <cfRule type="cellIs" dxfId="0" priority="69" operator="greaterThan">
      <formula>0.03</formula>
    </cfRule>
    <cfRule type="cellIs" dxfId="1" priority="70" stopIfTrue="1" operator="lessThan">
      <formula>-0.03</formula>
    </cfRule>
  </conditionalFormatting>
  <conditionalFormatting sqref="T7">
    <cfRule type="cellIs" dxfId="0" priority="167" operator="greaterThan">
      <formula>0.03</formula>
    </cfRule>
    <cfRule type="cellIs" dxfId="1" priority="168" stopIfTrue="1" operator="lessThan">
      <formula>-0.03</formula>
    </cfRule>
  </conditionalFormatting>
  <conditionalFormatting sqref="U7">
    <cfRule type="cellIs" dxfId="0" priority="165" operator="greaterThan">
      <formula>0.03</formula>
    </cfRule>
    <cfRule type="cellIs" dxfId="1" priority="166" stopIfTrue="1" operator="lessThan">
      <formula>-0.03</formula>
    </cfRule>
  </conditionalFormatting>
  <conditionalFormatting sqref="V7">
    <cfRule type="cellIs" dxfId="0" priority="163" operator="greaterThan">
      <formula>0.03</formula>
    </cfRule>
    <cfRule type="cellIs" dxfId="1" priority="164" stopIfTrue="1" operator="lessThan">
      <formula>-0.03</formula>
    </cfRule>
  </conditionalFormatting>
  <conditionalFormatting sqref="T10:U10">
    <cfRule type="cellIs" dxfId="0" priority="67" operator="greaterThan">
      <formula>0.03</formula>
    </cfRule>
    <cfRule type="cellIs" dxfId="1" priority="68" stopIfTrue="1" operator="lessThan">
      <formula>-0.03</formula>
    </cfRule>
  </conditionalFormatting>
  <conditionalFormatting sqref="T11">
    <cfRule type="cellIs" dxfId="0" priority="161" operator="greaterThan">
      <formula>0.03</formula>
    </cfRule>
    <cfRule type="cellIs" dxfId="1" priority="162" stopIfTrue="1" operator="lessThan">
      <formula>-0.03</formula>
    </cfRule>
  </conditionalFormatting>
  <conditionalFormatting sqref="U11">
    <cfRule type="cellIs" dxfId="0" priority="159" operator="greaterThan">
      <formula>0.03</formula>
    </cfRule>
    <cfRule type="cellIs" dxfId="1" priority="160" stopIfTrue="1" operator="lessThan">
      <formula>-0.03</formula>
    </cfRule>
  </conditionalFormatting>
  <conditionalFormatting sqref="V11">
    <cfRule type="cellIs" dxfId="0" priority="157" operator="greaterThan">
      <formula>0.03</formula>
    </cfRule>
    <cfRule type="cellIs" dxfId="1" priority="158" stopIfTrue="1" operator="lessThan">
      <formula>-0.03</formula>
    </cfRule>
  </conditionalFormatting>
  <conditionalFormatting sqref="T14:U14">
    <cfRule type="cellIs" dxfId="0" priority="65" operator="greaterThan">
      <formula>0.03</formula>
    </cfRule>
    <cfRule type="cellIs" dxfId="1" priority="66" stopIfTrue="1" operator="lessThan">
      <formula>-0.03</formula>
    </cfRule>
  </conditionalFormatting>
  <conditionalFormatting sqref="T15">
    <cfRule type="cellIs" dxfId="0" priority="155" operator="greaterThan">
      <formula>0.03</formula>
    </cfRule>
    <cfRule type="cellIs" dxfId="1" priority="156" stopIfTrue="1" operator="lessThan">
      <formula>-0.03</formula>
    </cfRule>
  </conditionalFormatting>
  <conditionalFormatting sqref="U15">
    <cfRule type="cellIs" dxfId="0" priority="153" operator="greaterThan">
      <formula>0.03</formula>
    </cfRule>
    <cfRule type="cellIs" dxfId="1" priority="154" stopIfTrue="1" operator="lessThan">
      <formula>-0.03</formula>
    </cfRule>
  </conditionalFormatting>
  <conditionalFormatting sqref="V15">
    <cfRule type="cellIs" dxfId="0" priority="151" operator="greaterThan">
      <formula>0.03</formula>
    </cfRule>
    <cfRule type="cellIs" dxfId="1" priority="152" stopIfTrue="1" operator="lessThan">
      <formula>-0.03</formula>
    </cfRule>
  </conditionalFormatting>
  <conditionalFormatting sqref="T18:U18">
    <cfRule type="cellIs" dxfId="0" priority="63" operator="greaterThan">
      <formula>0.03</formula>
    </cfRule>
    <cfRule type="cellIs" dxfId="1" priority="64" stopIfTrue="1" operator="lessThan">
      <formula>-0.03</formula>
    </cfRule>
  </conditionalFormatting>
  <conditionalFormatting sqref="T19">
    <cfRule type="cellIs" dxfId="0" priority="149" operator="greaterThan">
      <formula>0.03</formula>
    </cfRule>
    <cfRule type="cellIs" dxfId="1" priority="150" stopIfTrue="1" operator="lessThan">
      <formula>-0.03</formula>
    </cfRule>
  </conditionalFormatting>
  <conditionalFormatting sqref="U19">
    <cfRule type="cellIs" dxfId="0" priority="147" operator="greaterThan">
      <formula>0.03</formula>
    </cfRule>
    <cfRule type="cellIs" dxfId="1" priority="148" stopIfTrue="1" operator="lessThan">
      <formula>-0.03</formula>
    </cfRule>
  </conditionalFormatting>
  <conditionalFormatting sqref="V19">
    <cfRule type="cellIs" dxfId="0" priority="145" operator="greaterThan">
      <formula>0.03</formula>
    </cfRule>
    <cfRule type="cellIs" dxfId="1" priority="146" stopIfTrue="1" operator="lessThan">
      <formula>-0.03</formula>
    </cfRule>
  </conditionalFormatting>
  <conditionalFormatting sqref="T22:U22">
    <cfRule type="cellIs" dxfId="0" priority="61" operator="greaterThan">
      <formula>0.03</formula>
    </cfRule>
    <cfRule type="cellIs" dxfId="1" priority="62" stopIfTrue="1" operator="lessThan">
      <formula>-0.03</formula>
    </cfRule>
  </conditionalFormatting>
  <conditionalFormatting sqref="T23">
    <cfRule type="cellIs" dxfId="0" priority="143" operator="greaterThan">
      <formula>0.03</formula>
    </cfRule>
    <cfRule type="cellIs" dxfId="1" priority="144" stopIfTrue="1" operator="lessThan">
      <formula>-0.03</formula>
    </cfRule>
  </conditionalFormatting>
  <conditionalFormatting sqref="U23">
    <cfRule type="cellIs" dxfId="0" priority="141" operator="greaterThan">
      <formula>0.03</formula>
    </cfRule>
    <cfRule type="cellIs" dxfId="1" priority="142" stopIfTrue="1" operator="lessThan">
      <formula>-0.03</formula>
    </cfRule>
  </conditionalFormatting>
  <conditionalFormatting sqref="V23">
    <cfRule type="cellIs" dxfId="0" priority="139" operator="greaterThan">
      <formula>0.03</formula>
    </cfRule>
    <cfRule type="cellIs" dxfId="1" priority="140" stopIfTrue="1" operator="lessThan">
      <formula>-0.03</formula>
    </cfRule>
  </conditionalFormatting>
  <conditionalFormatting sqref="T26:U26">
    <cfRule type="cellIs" dxfId="0" priority="59" operator="greaterThan">
      <formula>0.03</formula>
    </cfRule>
    <cfRule type="cellIs" dxfId="1" priority="60" stopIfTrue="1" operator="lessThan">
      <formula>-0.03</formula>
    </cfRule>
  </conditionalFormatting>
  <conditionalFormatting sqref="T27">
    <cfRule type="cellIs" dxfId="0" priority="137" operator="greaterThan">
      <formula>0.03</formula>
    </cfRule>
    <cfRule type="cellIs" dxfId="1" priority="138" stopIfTrue="1" operator="lessThan">
      <formula>-0.03</formula>
    </cfRule>
  </conditionalFormatting>
  <conditionalFormatting sqref="U27">
    <cfRule type="cellIs" dxfId="0" priority="135" operator="greaterThan">
      <formula>0.03</formula>
    </cfRule>
    <cfRule type="cellIs" dxfId="1" priority="136" stopIfTrue="1" operator="lessThan">
      <formula>-0.03</formula>
    </cfRule>
  </conditionalFormatting>
  <conditionalFormatting sqref="V27">
    <cfRule type="cellIs" dxfId="0" priority="133" operator="greaterThan">
      <formula>0.03</formula>
    </cfRule>
    <cfRule type="cellIs" dxfId="1" priority="134" stopIfTrue="1" operator="lessThan">
      <formula>-0.03</formula>
    </cfRule>
  </conditionalFormatting>
  <conditionalFormatting sqref="T30:U30">
    <cfRule type="cellIs" dxfId="0" priority="57" operator="greaterThan">
      <formula>0.03</formula>
    </cfRule>
    <cfRule type="cellIs" dxfId="1" priority="58" stopIfTrue="1" operator="lessThan">
      <formula>-0.03</formula>
    </cfRule>
  </conditionalFormatting>
  <conditionalFormatting sqref="T31">
    <cfRule type="cellIs" dxfId="0" priority="131" operator="greaterThan">
      <formula>0.03</formula>
    </cfRule>
    <cfRule type="cellIs" dxfId="1" priority="132" stopIfTrue="1" operator="lessThan">
      <formula>-0.03</formula>
    </cfRule>
  </conditionalFormatting>
  <conditionalFormatting sqref="U31">
    <cfRule type="cellIs" dxfId="0" priority="129" operator="greaterThan">
      <formula>0.03</formula>
    </cfRule>
    <cfRule type="cellIs" dxfId="1" priority="130" stopIfTrue="1" operator="lessThan">
      <formula>-0.03</formula>
    </cfRule>
  </conditionalFormatting>
  <conditionalFormatting sqref="V31">
    <cfRule type="cellIs" dxfId="0" priority="127" operator="greaterThan">
      <formula>0.03</formula>
    </cfRule>
    <cfRule type="cellIs" dxfId="1" priority="128" stopIfTrue="1" operator="lessThan">
      <formula>-0.03</formula>
    </cfRule>
  </conditionalFormatting>
  <conditionalFormatting sqref="T34:U34">
    <cfRule type="cellIs" dxfId="0" priority="55" operator="greaterThan">
      <formula>0.03</formula>
    </cfRule>
    <cfRule type="cellIs" dxfId="1" priority="56" stopIfTrue="1" operator="lessThan">
      <formula>-0.03</formula>
    </cfRule>
  </conditionalFormatting>
  <conditionalFormatting sqref="T35">
    <cfRule type="cellIs" dxfId="0" priority="125" operator="greaterThan">
      <formula>0.03</formula>
    </cfRule>
    <cfRule type="cellIs" dxfId="1" priority="126" stopIfTrue="1" operator="lessThan">
      <formula>-0.03</formula>
    </cfRule>
  </conditionalFormatting>
  <conditionalFormatting sqref="U35">
    <cfRule type="cellIs" dxfId="0" priority="123" operator="greaterThan">
      <formula>0.03</formula>
    </cfRule>
    <cfRule type="cellIs" dxfId="1" priority="124" stopIfTrue="1" operator="lessThan">
      <formula>-0.03</formula>
    </cfRule>
  </conditionalFormatting>
  <conditionalFormatting sqref="V35">
    <cfRule type="cellIs" dxfId="0" priority="121" operator="greaterThan">
      <formula>0.03</formula>
    </cfRule>
    <cfRule type="cellIs" dxfId="1" priority="122" stopIfTrue="1" operator="lessThan">
      <formula>-0.03</formula>
    </cfRule>
  </conditionalFormatting>
  <conditionalFormatting sqref="T38:U38">
    <cfRule type="cellIs" dxfId="0" priority="53" operator="greaterThan">
      <formula>0.03</formula>
    </cfRule>
    <cfRule type="cellIs" dxfId="1" priority="54" stopIfTrue="1" operator="lessThan">
      <formula>-0.03</formula>
    </cfRule>
  </conditionalFormatting>
  <conditionalFormatting sqref="T39">
    <cfRule type="cellIs" dxfId="0" priority="119" operator="greaterThan">
      <formula>0.03</formula>
    </cfRule>
    <cfRule type="cellIs" dxfId="1" priority="120" stopIfTrue="1" operator="lessThan">
      <formula>-0.03</formula>
    </cfRule>
  </conditionalFormatting>
  <conditionalFormatting sqref="U39">
    <cfRule type="cellIs" dxfId="0" priority="117" operator="greaterThan">
      <formula>0.03</formula>
    </cfRule>
    <cfRule type="cellIs" dxfId="1" priority="118" stopIfTrue="1" operator="lessThan">
      <formula>-0.03</formula>
    </cfRule>
  </conditionalFormatting>
  <conditionalFormatting sqref="V39">
    <cfRule type="cellIs" dxfId="0" priority="115" operator="greaterThan">
      <formula>0.03</formula>
    </cfRule>
    <cfRule type="cellIs" dxfId="1" priority="116" stopIfTrue="1" operator="lessThan">
      <formula>-0.03</formula>
    </cfRule>
  </conditionalFormatting>
  <conditionalFormatting sqref="T42:U42">
    <cfRule type="cellIs" dxfId="0" priority="51" operator="greaterThan">
      <formula>0.03</formula>
    </cfRule>
    <cfRule type="cellIs" dxfId="1" priority="52" stopIfTrue="1" operator="lessThan">
      <formula>-0.03</formula>
    </cfRule>
  </conditionalFormatting>
  <conditionalFormatting sqref="T43">
    <cfRule type="cellIs" dxfId="0" priority="113" operator="greaterThan">
      <formula>0.03</formula>
    </cfRule>
    <cfRule type="cellIs" dxfId="1" priority="114" stopIfTrue="1" operator="lessThan">
      <formula>-0.03</formula>
    </cfRule>
  </conditionalFormatting>
  <conditionalFormatting sqref="U43">
    <cfRule type="cellIs" dxfId="0" priority="111" operator="greaterThan">
      <formula>0.03</formula>
    </cfRule>
    <cfRule type="cellIs" dxfId="1" priority="112" stopIfTrue="1" operator="lessThan">
      <formula>-0.03</formula>
    </cfRule>
  </conditionalFormatting>
  <conditionalFormatting sqref="V43">
    <cfRule type="cellIs" dxfId="0" priority="109" operator="greaterThan">
      <formula>0.03</formula>
    </cfRule>
    <cfRule type="cellIs" dxfId="1" priority="110" stopIfTrue="1" operator="lessThan">
      <formula>-0.03</formula>
    </cfRule>
  </conditionalFormatting>
  <conditionalFormatting sqref="T46:U46">
    <cfRule type="cellIs" dxfId="0" priority="49" operator="greaterThan">
      <formula>0.03</formula>
    </cfRule>
    <cfRule type="cellIs" dxfId="1" priority="50" stopIfTrue="1" operator="lessThan">
      <formula>-0.03</formula>
    </cfRule>
  </conditionalFormatting>
  <conditionalFormatting sqref="T47">
    <cfRule type="cellIs" dxfId="0" priority="107" operator="greaterThan">
      <formula>0.03</formula>
    </cfRule>
    <cfRule type="cellIs" dxfId="1" priority="108" stopIfTrue="1" operator="lessThan">
      <formula>-0.03</formula>
    </cfRule>
  </conditionalFormatting>
  <conditionalFormatting sqref="U47">
    <cfRule type="cellIs" dxfId="0" priority="105" operator="greaterThan">
      <formula>0.03</formula>
    </cfRule>
    <cfRule type="cellIs" dxfId="1" priority="106" stopIfTrue="1" operator="lessThan">
      <formula>-0.03</formula>
    </cfRule>
  </conditionalFormatting>
  <conditionalFormatting sqref="V47">
    <cfRule type="cellIs" dxfId="0" priority="103" operator="greaterThan">
      <formula>0.03</formula>
    </cfRule>
    <cfRule type="cellIs" dxfId="1" priority="104" stopIfTrue="1" operator="lessThan">
      <formula>-0.03</formula>
    </cfRule>
  </conditionalFormatting>
  <conditionalFormatting sqref="T50:U50">
    <cfRule type="cellIs" dxfId="0" priority="47" operator="greaterThan">
      <formula>0.03</formula>
    </cfRule>
    <cfRule type="cellIs" dxfId="1" priority="48" stopIfTrue="1" operator="lessThan">
      <formula>-0.03</formula>
    </cfRule>
  </conditionalFormatting>
  <conditionalFormatting sqref="T51">
    <cfRule type="cellIs" dxfId="0" priority="101" operator="greaterThan">
      <formula>0.03</formula>
    </cfRule>
    <cfRule type="cellIs" dxfId="1" priority="102" stopIfTrue="1" operator="lessThan">
      <formula>-0.03</formula>
    </cfRule>
  </conditionalFormatting>
  <conditionalFormatting sqref="U51">
    <cfRule type="cellIs" dxfId="0" priority="99" operator="greaterThan">
      <formula>0.03</formula>
    </cfRule>
    <cfRule type="cellIs" dxfId="1" priority="100" stopIfTrue="1" operator="lessThan">
      <formula>-0.03</formula>
    </cfRule>
  </conditionalFormatting>
  <conditionalFormatting sqref="V51">
    <cfRule type="cellIs" dxfId="0" priority="97" operator="greaterThan">
      <formula>0.03</formula>
    </cfRule>
    <cfRule type="cellIs" dxfId="1" priority="98" stopIfTrue="1" operator="lessThan">
      <formula>-0.03</formula>
    </cfRule>
  </conditionalFormatting>
  <conditionalFormatting sqref="T54:U54">
    <cfRule type="cellIs" dxfId="0" priority="45" operator="greaterThan">
      <formula>0.03</formula>
    </cfRule>
    <cfRule type="cellIs" dxfId="1" priority="46" stopIfTrue="1" operator="lessThan">
      <formula>-0.03</formula>
    </cfRule>
  </conditionalFormatting>
  <conditionalFormatting sqref="T55">
    <cfRule type="cellIs" dxfId="0" priority="95" operator="greaterThan">
      <formula>0.03</formula>
    </cfRule>
    <cfRule type="cellIs" dxfId="1" priority="96" stopIfTrue="1" operator="lessThan">
      <formula>-0.03</formula>
    </cfRule>
  </conditionalFormatting>
  <conditionalFormatting sqref="U55">
    <cfRule type="cellIs" dxfId="0" priority="93" operator="greaterThan">
      <formula>0.03</formula>
    </cfRule>
    <cfRule type="cellIs" dxfId="1" priority="94" stopIfTrue="1" operator="lessThan">
      <formula>-0.03</formula>
    </cfRule>
  </conditionalFormatting>
  <conditionalFormatting sqref="V55">
    <cfRule type="cellIs" dxfId="0" priority="91" operator="greaterThan">
      <formula>0.03</formula>
    </cfRule>
    <cfRule type="cellIs" dxfId="1" priority="92" stopIfTrue="1" operator="lessThan">
      <formula>-0.03</formula>
    </cfRule>
  </conditionalFormatting>
  <conditionalFormatting sqref="T58:U58">
    <cfRule type="cellIs" dxfId="0" priority="43" operator="greaterThan">
      <formula>0.03</formula>
    </cfRule>
    <cfRule type="cellIs" dxfId="1" priority="44" stopIfTrue="1" operator="lessThan">
      <formula>-0.03</formula>
    </cfRule>
  </conditionalFormatting>
  <conditionalFormatting sqref="T59">
    <cfRule type="cellIs" dxfId="0" priority="89" operator="greaterThan">
      <formula>0.03</formula>
    </cfRule>
    <cfRule type="cellIs" dxfId="1" priority="90" stopIfTrue="1" operator="lessThan">
      <formula>-0.03</formula>
    </cfRule>
  </conditionalFormatting>
  <conditionalFormatting sqref="U59">
    <cfRule type="cellIs" dxfId="0" priority="87" operator="greaterThan">
      <formula>0.03</formula>
    </cfRule>
    <cfRule type="cellIs" dxfId="1" priority="88" stopIfTrue="1" operator="lessThan">
      <formula>-0.03</formula>
    </cfRule>
  </conditionalFormatting>
  <conditionalFormatting sqref="V59">
    <cfRule type="cellIs" dxfId="0" priority="85" operator="greaterThan">
      <formula>0.03</formula>
    </cfRule>
    <cfRule type="cellIs" dxfId="1" priority="86" stopIfTrue="1" operator="lessThan">
      <formula>-0.03</formula>
    </cfRule>
  </conditionalFormatting>
  <conditionalFormatting sqref="T62:U62">
    <cfRule type="cellIs" dxfId="0" priority="41" operator="greaterThan">
      <formula>0.03</formula>
    </cfRule>
    <cfRule type="cellIs" dxfId="1" priority="42" stopIfTrue="1" operator="lessThan">
      <formula>-0.03</formula>
    </cfRule>
  </conditionalFormatting>
  <conditionalFormatting sqref="T63">
    <cfRule type="cellIs" dxfId="0" priority="83" operator="greaterThan">
      <formula>0.03</formula>
    </cfRule>
    <cfRule type="cellIs" dxfId="1" priority="84" stopIfTrue="1" operator="lessThan">
      <formula>-0.03</formula>
    </cfRule>
  </conditionalFormatting>
  <conditionalFormatting sqref="U63">
    <cfRule type="cellIs" dxfId="0" priority="81" operator="greaterThan">
      <formula>0.03</formula>
    </cfRule>
    <cfRule type="cellIs" dxfId="1" priority="82" stopIfTrue="1" operator="lessThan">
      <formula>-0.03</formula>
    </cfRule>
  </conditionalFormatting>
  <conditionalFormatting sqref="V63">
    <cfRule type="cellIs" dxfId="0" priority="79" operator="greaterThan">
      <formula>0.03</formula>
    </cfRule>
    <cfRule type="cellIs" dxfId="1" priority="80" stopIfTrue="1" operator="lessThan">
      <formula>-0.03</formula>
    </cfRule>
  </conditionalFormatting>
  <conditionalFormatting sqref="T66:U66">
    <cfRule type="cellIs" dxfId="0" priority="39" operator="greaterThan">
      <formula>0.03</formula>
    </cfRule>
    <cfRule type="cellIs" dxfId="1" priority="40" stopIfTrue="1" operator="lessThan">
      <formula>-0.03</formula>
    </cfRule>
  </conditionalFormatting>
  <conditionalFormatting sqref="T83">
    <cfRule type="cellIs" dxfId="0" priority="31" operator="greaterThan">
      <formula>0.03</formula>
    </cfRule>
    <cfRule type="cellIs" dxfId="1" priority="32" stopIfTrue="1" operator="lessThan">
      <formula>-0.03</formula>
    </cfRule>
  </conditionalFormatting>
  <conditionalFormatting sqref="U83">
    <cfRule type="cellIs" dxfId="0" priority="29" operator="greaterThan">
      <formula>0.03</formula>
    </cfRule>
    <cfRule type="cellIs" dxfId="1" priority="30" stopIfTrue="1" operator="lessThan">
      <formula>-0.03</formula>
    </cfRule>
  </conditionalFormatting>
  <conditionalFormatting sqref="V83">
    <cfRule type="cellIs" dxfId="0" priority="27" operator="greaterThan">
      <formula>0.03</formula>
    </cfRule>
    <cfRule type="cellIs" dxfId="1" priority="28" stopIfTrue="1" operator="lessThan">
      <formula>-0.03</formula>
    </cfRule>
  </conditionalFormatting>
  <conditionalFormatting sqref="T86:U86">
    <cfRule type="cellIs" dxfId="0" priority="7" operator="greaterThan">
      <formula>0.03</formula>
    </cfRule>
    <cfRule type="cellIs" dxfId="1" priority="8" stopIfTrue="1" operator="lessThan">
      <formula>-0.03</formula>
    </cfRule>
  </conditionalFormatting>
  <conditionalFormatting sqref="T87">
    <cfRule type="cellIs" dxfId="0" priority="25" operator="greaterThan">
      <formula>0.03</formula>
    </cfRule>
    <cfRule type="cellIs" dxfId="1" priority="26" stopIfTrue="1" operator="lessThan">
      <formula>-0.03</formula>
    </cfRule>
  </conditionalFormatting>
  <conditionalFormatting sqref="U87">
    <cfRule type="cellIs" dxfId="0" priority="23" operator="greaterThan">
      <formula>0.03</formula>
    </cfRule>
    <cfRule type="cellIs" dxfId="1" priority="24" stopIfTrue="1" operator="lessThan">
      <formula>-0.03</formula>
    </cfRule>
  </conditionalFormatting>
  <conditionalFormatting sqref="V87">
    <cfRule type="cellIs" dxfId="0" priority="21" operator="greaterThan">
      <formula>0.03</formula>
    </cfRule>
    <cfRule type="cellIs" dxfId="1" priority="22" stopIfTrue="1" operator="lessThan">
      <formula>-0.03</formula>
    </cfRule>
  </conditionalFormatting>
  <conditionalFormatting sqref="T90:U90">
    <cfRule type="cellIs" dxfId="0" priority="5" operator="greaterThan">
      <formula>0.03</formula>
    </cfRule>
    <cfRule type="cellIs" dxfId="1" priority="6" stopIfTrue="1" operator="lessThan">
      <formula>-0.03</formula>
    </cfRule>
  </conditionalFormatting>
  <conditionalFormatting sqref="T91">
    <cfRule type="cellIs" dxfId="0" priority="19" operator="greaterThan">
      <formula>0.03</formula>
    </cfRule>
    <cfRule type="cellIs" dxfId="1" priority="20" stopIfTrue="1" operator="lessThan">
      <formula>-0.03</formula>
    </cfRule>
  </conditionalFormatting>
  <conditionalFormatting sqref="U91">
    <cfRule type="cellIs" dxfId="0" priority="17" operator="greaterThan">
      <formula>0.03</formula>
    </cfRule>
    <cfRule type="cellIs" dxfId="1" priority="18" stopIfTrue="1" operator="lessThan">
      <formula>-0.03</formula>
    </cfRule>
  </conditionalFormatting>
  <conditionalFormatting sqref="V91">
    <cfRule type="cellIs" dxfId="0" priority="15" operator="greaterThan">
      <formula>0.03</formula>
    </cfRule>
    <cfRule type="cellIs" dxfId="1" priority="16" stopIfTrue="1" operator="lessThan">
      <formula>-0.03</formula>
    </cfRule>
  </conditionalFormatting>
  <conditionalFormatting sqref="T94:U94">
    <cfRule type="cellIs" dxfId="0" priority="3" operator="greaterThan">
      <formula>0.03</formula>
    </cfRule>
    <cfRule type="cellIs" dxfId="1" priority="4" stopIfTrue="1" operator="lessThan">
      <formula>-0.03</formula>
    </cfRule>
  </conditionalFormatting>
  <conditionalFormatting sqref="T95">
    <cfRule type="cellIs" dxfId="0" priority="13" operator="greaterThan">
      <formula>0.03</formula>
    </cfRule>
    <cfRule type="cellIs" dxfId="1" priority="14" stopIfTrue="1" operator="lessThan">
      <formula>-0.03</formula>
    </cfRule>
  </conditionalFormatting>
  <conditionalFormatting sqref="U95">
    <cfRule type="cellIs" dxfId="0" priority="11" operator="greaterThan">
      <formula>0.03</formula>
    </cfRule>
    <cfRule type="cellIs" dxfId="1" priority="12" stopIfTrue="1" operator="lessThan">
      <formula>-0.03</formula>
    </cfRule>
  </conditionalFormatting>
  <conditionalFormatting sqref="V95">
    <cfRule type="cellIs" dxfId="0" priority="9" operator="greaterThan">
      <formula>0.03</formula>
    </cfRule>
    <cfRule type="cellIs" dxfId="1" priority="10" stopIfTrue="1" operator="lessThan">
      <formula>-0.03</formula>
    </cfRule>
  </conditionalFormatting>
  <conditionalFormatting sqref="T98:U98">
    <cfRule type="cellIs" dxfId="0" priority="1" operator="greaterThan">
      <formula>0.03</formula>
    </cfRule>
    <cfRule type="cellIs" dxfId="1" priority="2" stopIfTrue="1" operator="lessThan">
      <formula>-0.03</formula>
    </cfRule>
  </conditionalFormatting>
  <conditionalFormatting sqref="Q3:S3 P4:S82 P99:S103 P104:V105">
    <cfRule type="cellIs" dxfId="0" priority="175" operator="greaterThan">
      <formula>0.03</formula>
    </cfRule>
    <cfRule type="cellIs" dxfId="1" priority="176" stopIfTrue="1" operator="lessThan">
      <formula>-0.03</formula>
    </cfRule>
  </conditionalFormatting>
  <conditionalFormatting sqref="T67 T71 T75 T79">
    <cfRule type="cellIs" dxfId="0" priority="77" operator="greaterThan">
      <formula>0.03</formula>
    </cfRule>
    <cfRule type="cellIs" dxfId="1" priority="78" stopIfTrue="1" operator="lessThan">
      <formula>-0.03</formula>
    </cfRule>
  </conditionalFormatting>
  <conditionalFormatting sqref="U67 U71 U75 U79">
    <cfRule type="cellIs" dxfId="0" priority="75" operator="greaterThan">
      <formula>0.03</formula>
    </cfRule>
    <cfRule type="cellIs" dxfId="1" priority="76" stopIfTrue="1" operator="lessThan">
      <formula>-0.03</formula>
    </cfRule>
  </conditionalFormatting>
  <conditionalFormatting sqref="V67 V71 V75 V79">
    <cfRule type="cellIs" dxfId="0" priority="73" operator="greaterThan">
      <formula>0.03</formula>
    </cfRule>
    <cfRule type="cellIs" dxfId="1" priority="74" stopIfTrue="1" operator="lessThan">
      <formula>-0.03</formula>
    </cfRule>
  </conditionalFormatting>
  <conditionalFormatting sqref="T70:U70 T74:U74 T78:U78 T82:U82">
    <cfRule type="cellIs" dxfId="0" priority="37" operator="greaterThan">
      <formula>0.03</formula>
    </cfRule>
    <cfRule type="cellIs" dxfId="1" priority="38" stopIfTrue="1" operator="lessThan">
      <formula>-0.03</formula>
    </cfRule>
  </conditionalFormatting>
  <conditionalFormatting sqref="P83:S98">
    <cfRule type="cellIs" dxfId="0" priority="33" operator="greaterThan">
      <formula>0.03</formula>
    </cfRule>
    <cfRule type="cellIs" dxfId="1" priority="34" stopIfTrue="1" operator="lessThan">
      <formula>-0.03</formula>
    </cfRule>
  </conditionalFormatting>
  <conditionalFormatting sqref="T99:V103">
    <cfRule type="cellIs" dxfId="0" priority="71" operator="greaterThan">
      <formula>0.03</formula>
    </cfRule>
    <cfRule type="cellIs" dxfId="1" priority="72" stopIfTrue="1" operator="lessThan">
      <formula>-0.03</formula>
    </cfRule>
  </conditionalFormatting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B108"/>
  <sheetViews>
    <sheetView workbookViewId="0">
      <selection activeCell="G13" sqref="G13"/>
    </sheetView>
  </sheetViews>
  <sheetFormatPr defaultColWidth="10.875" defaultRowHeight="11.4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1" width="8.875" style="1" customWidth="1"/>
    <col min="12" max="12" width="2.875" style="1" customWidth="1"/>
    <col min="13" max="13" width="9.875" style="1" customWidth="1"/>
    <col min="14" max="16" width="6.875" style="1" customWidth="1"/>
    <col min="17" max="20" width="8.875" style="1" customWidth="1"/>
    <col min="21" max="21" width="2.875" style="1" customWidth="1"/>
    <col min="22" max="28" width="8.875" style="1" customWidth="1"/>
    <col min="29" max="16384" width="10.875" style="1"/>
  </cols>
  <sheetData>
    <row r="1" ht="12.75" spans="4:28">
      <c r="D1" s="2" t="s">
        <v>0</v>
      </c>
      <c r="E1" s="3"/>
      <c r="F1" s="3"/>
      <c r="G1" s="3"/>
      <c r="H1" s="3"/>
      <c r="I1" s="3"/>
      <c r="J1" s="3"/>
      <c r="K1" s="18"/>
      <c r="M1" s="2" t="s">
        <v>1</v>
      </c>
      <c r="N1" s="3"/>
      <c r="O1" s="3"/>
      <c r="P1" s="3"/>
      <c r="Q1" s="3"/>
      <c r="R1" s="3"/>
      <c r="S1" s="3"/>
      <c r="T1" s="18"/>
      <c r="U1" s="20"/>
      <c r="V1" s="2" t="s">
        <v>2</v>
      </c>
      <c r="W1" s="3"/>
      <c r="X1" s="18"/>
      <c r="Y1" s="3"/>
      <c r="Z1" s="2" t="s">
        <v>3</v>
      </c>
      <c r="AA1" s="3"/>
      <c r="AB1" s="18"/>
    </row>
    <row r="2" ht="12.15" spans="1:28">
      <c r="A2" s="4"/>
      <c r="B2" s="5"/>
      <c r="C2" s="6" t="s">
        <v>4</v>
      </c>
      <c r="D2" s="7" t="s">
        <v>5</v>
      </c>
      <c r="E2" s="8" t="s">
        <v>6</v>
      </c>
      <c r="F2" s="8" t="s">
        <v>7</v>
      </c>
      <c r="G2" s="8" t="s">
        <v>8</v>
      </c>
      <c r="H2" s="8" t="s">
        <v>9</v>
      </c>
      <c r="I2" s="8" t="s">
        <v>10</v>
      </c>
      <c r="J2" s="8" t="s">
        <v>11</v>
      </c>
      <c r="K2" s="19" t="s">
        <v>12</v>
      </c>
      <c r="L2" s="20"/>
      <c r="M2" s="7" t="s">
        <v>5</v>
      </c>
      <c r="N2" s="8" t="s">
        <v>6</v>
      </c>
      <c r="O2" s="8" t="s">
        <v>7</v>
      </c>
      <c r="P2" s="8" t="s">
        <v>8</v>
      </c>
      <c r="Q2" s="8" t="s">
        <v>9</v>
      </c>
      <c r="R2" s="8" t="s">
        <v>10</v>
      </c>
      <c r="S2" s="8" t="s">
        <v>11</v>
      </c>
      <c r="T2" s="19" t="s">
        <v>12</v>
      </c>
      <c r="U2" s="36"/>
      <c r="V2" s="7" t="s">
        <v>13</v>
      </c>
      <c r="W2" s="8" t="s">
        <v>14</v>
      </c>
      <c r="X2" s="19" t="s">
        <v>15</v>
      </c>
      <c r="Y2" s="51" t="s">
        <v>16</v>
      </c>
      <c r="Z2" s="52" t="s">
        <v>13</v>
      </c>
      <c r="AA2" s="51" t="s">
        <v>14</v>
      </c>
      <c r="AB2" s="53" t="s">
        <v>15</v>
      </c>
    </row>
    <row r="3" spans="1:28">
      <c r="A3" s="9" t="s">
        <v>17</v>
      </c>
      <c r="B3" s="9" t="s">
        <v>18</v>
      </c>
      <c r="C3" s="9">
        <v>22</v>
      </c>
      <c r="D3" s="10"/>
      <c r="E3" s="11"/>
      <c r="F3" s="11"/>
      <c r="G3" s="11"/>
      <c r="H3" s="11"/>
      <c r="I3" s="11"/>
      <c r="J3" s="11">
        <f>(6*E3+F3+G3)/8</f>
        <v>0</v>
      </c>
      <c r="K3" s="21">
        <f>H3/3600</f>
        <v>0</v>
      </c>
      <c r="M3" s="22"/>
      <c r="N3" s="23"/>
      <c r="O3" s="23"/>
      <c r="P3" s="23"/>
      <c r="Q3" s="23"/>
      <c r="R3" s="23"/>
      <c r="S3" s="23">
        <f>(6*N3+O3+P3)/8</f>
        <v>0</v>
      </c>
      <c r="T3" s="37">
        <f>Q3/3600</f>
        <v>0</v>
      </c>
      <c r="U3" s="38"/>
      <c r="V3" s="39" t="e">
        <f>bdrate($D3:$D6,E3:E6,$M3:$M6,N3:N6)</f>
        <v>#VALUE!</v>
      </c>
      <c r="W3" s="40" t="e">
        <f>bdrate($D3:$D6,F3:F6,$M3:$M6,O3:O6)</f>
        <v>#VALUE!</v>
      </c>
      <c r="X3" s="41" t="e">
        <f>bdrate($D3:$D6,G3:G6,$M3:$M6,P3:P6)</f>
        <v>#VALUE!</v>
      </c>
      <c r="Y3" s="40" t="e">
        <f>bdrate(D3:D6,J3:J6,M3:M6,S3:S6)</f>
        <v>#VALUE!</v>
      </c>
      <c r="Z3" s="39" t="e">
        <f>bdrateOld($D3:$D6,E3:E6,$M3:$M6,N3:N6)</f>
        <v>#VALUE!</v>
      </c>
      <c r="AA3" s="40" t="e">
        <f>bdrateOld($D3:$D6,F3:F6,$M3:$M6,O3:O6)</f>
        <v>#VALUE!</v>
      </c>
      <c r="AB3" s="41" t="e">
        <f>bdrateOld($D3:$D6,G3:G6,$M3:$M6,P3:P6)</f>
        <v>#VALUE!</v>
      </c>
    </row>
    <row r="4" spans="1:28">
      <c r="A4" s="12" t="s">
        <v>19</v>
      </c>
      <c r="B4" s="12"/>
      <c r="C4" s="12">
        <v>27</v>
      </c>
      <c r="D4" s="13"/>
      <c r="E4" s="14"/>
      <c r="F4" s="14"/>
      <c r="G4" s="14"/>
      <c r="H4" s="14"/>
      <c r="I4" s="14"/>
      <c r="J4" s="14">
        <f t="shared" ref="J4:J67" si="0">(6*E4+F4+G4)/8</f>
        <v>0</v>
      </c>
      <c r="K4" s="24">
        <f>H4/3600</f>
        <v>0</v>
      </c>
      <c r="M4" s="25"/>
      <c r="N4" s="26"/>
      <c r="O4" s="26"/>
      <c r="P4" s="26"/>
      <c r="Q4" s="26"/>
      <c r="R4" s="26"/>
      <c r="S4" s="26">
        <f t="shared" ref="S4:S67" si="1">(6*N4+O4+P4)/8</f>
        <v>0</v>
      </c>
      <c r="T4" s="42">
        <f>Q4/3600</f>
        <v>0</v>
      </c>
      <c r="U4" s="38"/>
      <c r="V4" s="43"/>
      <c r="W4" s="44"/>
      <c r="X4" s="45"/>
      <c r="Y4" s="44"/>
      <c r="Z4" s="43"/>
      <c r="AA4" s="44"/>
      <c r="AB4" s="45"/>
    </row>
    <row r="5" spans="1:28">
      <c r="A5" s="12"/>
      <c r="B5" s="12"/>
      <c r="C5" s="12">
        <v>32</v>
      </c>
      <c r="D5" s="13"/>
      <c r="E5" s="14"/>
      <c r="F5" s="14"/>
      <c r="G5" s="14"/>
      <c r="H5" s="14"/>
      <c r="I5" s="14"/>
      <c r="J5" s="14">
        <f t="shared" si="0"/>
        <v>0</v>
      </c>
      <c r="K5" s="24">
        <f>H5/3600</f>
        <v>0</v>
      </c>
      <c r="M5" s="25"/>
      <c r="N5" s="26"/>
      <c r="O5" s="26"/>
      <c r="P5" s="26"/>
      <c r="Q5" s="26"/>
      <c r="R5" s="26"/>
      <c r="S5" s="26">
        <f t="shared" si="1"/>
        <v>0</v>
      </c>
      <c r="T5" s="42">
        <f>Q5/3600</f>
        <v>0</v>
      </c>
      <c r="U5" s="38"/>
      <c r="V5" s="43"/>
      <c r="W5" s="44"/>
      <c r="X5" s="45"/>
      <c r="Y5" s="44"/>
      <c r="Z5" s="43"/>
      <c r="AA5" s="44"/>
      <c r="AB5" s="45"/>
    </row>
    <row r="6" ht="12.15" spans="1:28">
      <c r="A6" s="12"/>
      <c r="B6" s="15"/>
      <c r="C6" s="15">
        <v>37</v>
      </c>
      <c r="D6" s="16"/>
      <c r="E6" s="17"/>
      <c r="F6" s="17"/>
      <c r="G6" s="17"/>
      <c r="H6" s="17"/>
      <c r="I6" s="17"/>
      <c r="J6" s="17">
        <f t="shared" si="0"/>
        <v>0</v>
      </c>
      <c r="K6" s="27">
        <f>H6/3600</f>
        <v>0</v>
      </c>
      <c r="M6" s="28"/>
      <c r="N6" s="29"/>
      <c r="O6" s="29"/>
      <c r="P6" s="29"/>
      <c r="Q6" s="29"/>
      <c r="R6" s="29"/>
      <c r="S6" s="29">
        <f t="shared" si="1"/>
        <v>0</v>
      </c>
      <c r="T6" s="46">
        <f>Q6/3600</f>
        <v>0</v>
      </c>
      <c r="U6" s="38"/>
      <c r="V6" s="47"/>
      <c r="W6" s="48"/>
      <c r="X6" s="49"/>
      <c r="Y6" s="48"/>
      <c r="Z6" s="47"/>
      <c r="AA6" s="48"/>
      <c r="AB6" s="49"/>
    </row>
    <row r="7" spans="1:28">
      <c r="A7" s="12"/>
      <c r="B7" s="9" t="s">
        <v>20</v>
      </c>
      <c r="C7" s="9">
        <v>22</v>
      </c>
      <c r="D7" s="10"/>
      <c r="E7" s="11"/>
      <c r="F7" s="11"/>
      <c r="G7" s="11"/>
      <c r="H7" s="11"/>
      <c r="I7" s="11"/>
      <c r="J7" s="11">
        <f t="shared" si="0"/>
        <v>0</v>
      </c>
      <c r="K7" s="21">
        <f t="shared" ref="K7:K71" si="2">H7/3600</f>
        <v>0</v>
      </c>
      <c r="M7" s="22"/>
      <c r="N7" s="23"/>
      <c r="O7" s="23"/>
      <c r="P7" s="23"/>
      <c r="Q7" s="23"/>
      <c r="R7" s="23"/>
      <c r="S7" s="23">
        <f t="shared" si="1"/>
        <v>0</v>
      </c>
      <c r="T7" s="37">
        <f t="shared" ref="T7:T71" si="3">Q7/3600</f>
        <v>0</v>
      </c>
      <c r="U7" s="38"/>
      <c r="V7" s="39" t="e">
        <f>bdrate($D7:$D10,E7:E10,$M7:$M10,N7:N10)</f>
        <v>#VALUE!</v>
      </c>
      <c r="W7" s="40" t="e">
        <f>bdrate($D7:$D10,F7:F10,$M7:$M10,O7:O10)</f>
        <v>#VALUE!</v>
      </c>
      <c r="X7" s="40" t="e">
        <f>bdrate($D7:$D10,G7:G10,$M7:$M10,P7:P10)</f>
        <v>#VALUE!</v>
      </c>
      <c r="Y7" s="40" t="e">
        <f>bdrate(D7:D10,J7:J10,M7:M10,S7:S10)</f>
        <v>#VALUE!</v>
      </c>
      <c r="Z7" s="54" t="e">
        <f>bdrateOld($D7:$D10,E7:E10,$M7:$M10,N7:N10)</f>
        <v>#VALUE!</v>
      </c>
      <c r="AA7" s="55" t="e">
        <f>bdrateOld($D7:$D10,F7:F10,$M7:$M10,O7:O10)</f>
        <v>#VALUE!</v>
      </c>
      <c r="AB7" s="56" t="e">
        <f>bdrateOld($D7:$D10,G7:G10,$M7:$M10,P7:P10)</f>
        <v>#VALUE!</v>
      </c>
    </row>
    <row r="8" spans="1:28">
      <c r="A8" s="12"/>
      <c r="B8" s="12"/>
      <c r="C8" s="12">
        <v>27</v>
      </c>
      <c r="D8" s="13"/>
      <c r="E8" s="14"/>
      <c r="F8" s="14"/>
      <c r="G8" s="14"/>
      <c r="H8" s="14"/>
      <c r="I8" s="14"/>
      <c r="J8" s="14">
        <f t="shared" si="0"/>
        <v>0</v>
      </c>
      <c r="K8" s="24">
        <f t="shared" si="2"/>
        <v>0</v>
      </c>
      <c r="M8" s="25"/>
      <c r="N8" s="26"/>
      <c r="O8" s="26"/>
      <c r="P8" s="26"/>
      <c r="Q8" s="26"/>
      <c r="R8" s="26"/>
      <c r="S8" s="26">
        <f t="shared" si="1"/>
        <v>0</v>
      </c>
      <c r="T8" s="42">
        <f t="shared" si="3"/>
        <v>0</v>
      </c>
      <c r="U8" s="38"/>
      <c r="V8" s="43"/>
      <c r="W8" s="44"/>
      <c r="X8" s="44"/>
      <c r="Y8" s="44"/>
      <c r="Z8" s="43"/>
      <c r="AA8" s="44"/>
      <c r="AB8" s="45"/>
    </row>
    <row r="9" spans="1:28">
      <c r="A9" s="12"/>
      <c r="B9" s="12"/>
      <c r="C9" s="12">
        <v>32</v>
      </c>
      <c r="D9" s="13"/>
      <c r="E9" s="14"/>
      <c r="F9" s="14"/>
      <c r="G9" s="14"/>
      <c r="H9" s="14"/>
      <c r="I9" s="14"/>
      <c r="J9" s="14">
        <f t="shared" si="0"/>
        <v>0</v>
      </c>
      <c r="K9" s="24">
        <f t="shared" si="2"/>
        <v>0</v>
      </c>
      <c r="M9" s="25"/>
      <c r="N9" s="26"/>
      <c r="O9" s="26"/>
      <c r="P9" s="26"/>
      <c r="Q9" s="26"/>
      <c r="R9" s="26"/>
      <c r="S9" s="26">
        <f t="shared" si="1"/>
        <v>0</v>
      </c>
      <c r="T9" s="42">
        <f t="shared" si="3"/>
        <v>0</v>
      </c>
      <c r="U9" s="38"/>
      <c r="V9" s="43"/>
      <c r="W9" s="50"/>
      <c r="X9" s="44"/>
      <c r="Y9" s="44"/>
      <c r="Z9" s="43"/>
      <c r="AA9" s="44"/>
      <c r="AB9" s="45"/>
    </row>
    <row r="10" ht="12.15" spans="1:28">
      <c r="A10" s="12"/>
      <c r="B10" s="15"/>
      <c r="C10" s="15">
        <v>37</v>
      </c>
      <c r="D10" s="16"/>
      <c r="E10" s="17"/>
      <c r="F10" s="17"/>
      <c r="G10" s="17"/>
      <c r="H10" s="17"/>
      <c r="I10" s="17"/>
      <c r="J10" s="17">
        <f t="shared" si="0"/>
        <v>0</v>
      </c>
      <c r="K10" s="27">
        <f t="shared" si="2"/>
        <v>0</v>
      </c>
      <c r="M10" s="28"/>
      <c r="N10" s="29"/>
      <c r="O10" s="29"/>
      <c r="P10" s="29"/>
      <c r="Q10" s="29"/>
      <c r="R10" s="29"/>
      <c r="S10" s="29">
        <f t="shared" si="1"/>
        <v>0</v>
      </c>
      <c r="T10" s="46">
        <f t="shared" si="3"/>
        <v>0</v>
      </c>
      <c r="U10" s="38"/>
      <c r="V10" s="47"/>
      <c r="W10" s="48"/>
      <c r="X10" s="48"/>
      <c r="Y10" s="48"/>
      <c r="Z10" s="47"/>
      <c r="AA10" s="48"/>
      <c r="AB10" s="49"/>
    </row>
    <row r="11" spans="1:28">
      <c r="A11" s="12"/>
      <c r="B11" s="9" t="s">
        <v>21</v>
      </c>
      <c r="C11" s="9">
        <v>22</v>
      </c>
      <c r="D11" s="10"/>
      <c r="E11" s="11"/>
      <c r="F11" s="11"/>
      <c r="G11" s="11"/>
      <c r="H11" s="11"/>
      <c r="I11" s="11"/>
      <c r="J11" s="11">
        <f t="shared" si="0"/>
        <v>0</v>
      </c>
      <c r="K11" s="21">
        <f t="shared" si="2"/>
        <v>0</v>
      </c>
      <c r="M11" s="22"/>
      <c r="N11" s="23"/>
      <c r="O11" s="23"/>
      <c r="P11" s="23"/>
      <c r="Q11" s="23"/>
      <c r="R11" s="23"/>
      <c r="S11" s="23">
        <f t="shared" si="1"/>
        <v>0</v>
      </c>
      <c r="T11" s="37">
        <f t="shared" si="3"/>
        <v>0</v>
      </c>
      <c r="U11" s="38"/>
      <c r="V11" s="39" t="e">
        <f>bdrate($D11:$D14,E11:E14,$M11:$M14,N11:N14)</f>
        <v>#VALUE!</v>
      </c>
      <c r="W11" s="40" t="e">
        <f>bdrate($D11:$D14,F11:F14,$M11:$M14,O11:O14)</f>
        <v>#VALUE!</v>
      </c>
      <c r="X11" s="40" t="e">
        <f>bdrate($D11:$D14,G11:G14,$M11:$M14,P11:P14)</f>
        <v>#VALUE!</v>
      </c>
      <c r="Y11" s="40" t="e">
        <f>bdrate(D11:D14,J11:J14,M11:M14,S11:S14)</f>
        <v>#VALUE!</v>
      </c>
      <c r="Z11" s="54" t="e">
        <f>bdrateOld($D11:$D14,E11:E14,$M11:$M14,N11:N14)</f>
        <v>#VALUE!</v>
      </c>
      <c r="AA11" s="55" t="e">
        <f>bdrateOld($D11:$D14,F11:F14,$M11:$M14,O11:O14)</f>
        <v>#VALUE!</v>
      </c>
      <c r="AB11" s="56" t="e">
        <f>bdrateOld($D11:$D14,G11:G14,$M11:$M14,P11:P14)</f>
        <v>#VALUE!</v>
      </c>
    </row>
    <row r="12" spans="1:28">
      <c r="A12" s="12"/>
      <c r="B12" s="12"/>
      <c r="C12" s="12">
        <v>27</v>
      </c>
      <c r="D12" s="13"/>
      <c r="E12" s="14"/>
      <c r="F12" s="14"/>
      <c r="G12" s="14"/>
      <c r="H12" s="14"/>
      <c r="I12" s="14"/>
      <c r="J12" s="14">
        <f t="shared" si="0"/>
        <v>0</v>
      </c>
      <c r="K12" s="24">
        <f t="shared" si="2"/>
        <v>0</v>
      </c>
      <c r="M12" s="25"/>
      <c r="N12" s="26"/>
      <c r="O12" s="26"/>
      <c r="P12" s="26"/>
      <c r="Q12" s="26"/>
      <c r="R12" s="26"/>
      <c r="S12" s="26">
        <f t="shared" si="1"/>
        <v>0</v>
      </c>
      <c r="T12" s="42">
        <f t="shared" si="3"/>
        <v>0</v>
      </c>
      <c r="U12" s="38"/>
      <c r="V12" s="43"/>
      <c r="W12" s="44"/>
      <c r="X12" s="44"/>
      <c r="Y12" s="44"/>
      <c r="Z12" s="43"/>
      <c r="AA12" s="44"/>
      <c r="AB12" s="45"/>
    </row>
    <row r="13" spans="1:28">
      <c r="A13" s="12"/>
      <c r="B13" s="12"/>
      <c r="C13" s="12">
        <v>32</v>
      </c>
      <c r="D13" s="13"/>
      <c r="E13" s="14"/>
      <c r="F13" s="14"/>
      <c r="G13" s="14"/>
      <c r="H13" s="14"/>
      <c r="I13" s="14"/>
      <c r="J13" s="14">
        <f t="shared" si="0"/>
        <v>0</v>
      </c>
      <c r="K13" s="24">
        <f t="shared" si="2"/>
        <v>0</v>
      </c>
      <c r="M13" s="25"/>
      <c r="N13" s="26"/>
      <c r="O13" s="26"/>
      <c r="P13" s="26"/>
      <c r="Q13" s="26"/>
      <c r="R13" s="26"/>
      <c r="S13" s="26">
        <f t="shared" si="1"/>
        <v>0</v>
      </c>
      <c r="T13" s="42">
        <f t="shared" si="3"/>
        <v>0</v>
      </c>
      <c r="U13" s="38"/>
      <c r="V13" s="43"/>
      <c r="W13" s="44"/>
      <c r="X13" s="44"/>
      <c r="Y13" s="44"/>
      <c r="Z13" s="43"/>
      <c r="AA13" s="44"/>
      <c r="AB13" s="45"/>
    </row>
    <row r="14" ht="12.15" spans="1:28">
      <c r="A14" s="12"/>
      <c r="B14" s="15"/>
      <c r="C14" s="15">
        <v>37</v>
      </c>
      <c r="D14" s="16"/>
      <c r="E14" s="17"/>
      <c r="F14" s="17"/>
      <c r="G14" s="17"/>
      <c r="H14" s="17"/>
      <c r="I14" s="17"/>
      <c r="J14" s="17">
        <f t="shared" si="0"/>
        <v>0</v>
      </c>
      <c r="K14" s="27">
        <f t="shared" si="2"/>
        <v>0</v>
      </c>
      <c r="M14" s="28"/>
      <c r="N14" s="29"/>
      <c r="O14" s="29"/>
      <c r="P14" s="29"/>
      <c r="Q14" s="29"/>
      <c r="R14" s="29"/>
      <c r="S14" s="29">
        <f t="shared" si="1"/>
        <v>0</v>
      </c>
      <c r="T14" s="46">
        <f t="shared" si="3"/>
        <v>0</v>
      </c>
      <c r="U14" s="38"/>
      <c r="V14" s="47"/>
      <c r="W14" s="48"/>
      <c r="X14" s="48"/>
      <c r="Y14" s="48"/>
      <c r="Z14" s="47"/>
      <c r="AA14" s="48"/>
      <c r="AB14" s="49"/>
    </row>
    <row r="15" spans="1:28">
      <c r="A15" s="12"/>
      <c r="B15" s="9" t="s">
        <v>22</v>
      </c>
      <c r="C15" s="9">
        <v>22</v>
      </c>
      <c r="D15" s="10"/>
      <c r="E15" s="11"/>
      <c r="F15" s="11"/>
      <c r="G15" s="11"/>
      <c r="H15" s="11"/>
      <c r="I15" s="11"/>
      <c r="J15" s="11">
        <f t="shared" si="0"/>
        <v>0</v>
      </c>
      <c r="K15" s="21">
        <f t="shared" si="2"/>
        <v>0</v>
      </c>
      <c r="M15" s="22"/>
      <c r="N15" s="23"/>
      <c r="O15" s="23"/>
      <c r="P15" s="23"/>
      <c r="Q15" s="23"/>
      <c r="R15" s="23"/>
      <c r="S15" s="23">
        <f t="shared" si="1"/>
        <v>0</v>
      </c>
      <c r="T15" s="37">
        <f t="shared" si="3"/>
        <v>0</v>
      </c>
      <c r="U15" s="38"/>
      <c r="V15" s="39" t="e">
        <f>bdrate($D15:$D18,E15:E18,$M15:$M18,N15:N18)</f>
        <v>#VALUE!</v>
      </c>
      <c r="W15" s="40" t="e">
        <f>bdrate($D15:$D18,F15:F18,$M15:$M18,O15:O18)</f>
        <v>#VALUE!</v>
      </c>
      <c r="X15" s="40" t="e">
        <f>bdrate($D15:$D18,G15:G18,$M15:$M18,P15:P18)</f>
        <v>#VALUE!</v>
      </c>
      <c r="Y15" s="40" t="e">
        <f>bdrate(D15:D18,J15:J18,M15:M18,S15:S18)</f>
        <v>#VALUE!</v>
      </c>
      <c r="Z15" s="54" t="e">
        <f>bdrateOld($D15:$D18,E15:E18,$M15:$M18,N15:N18)</f>
        <v>#VALUE!</v>
      </c>
      <c r="AA15" s="55" t="e">
        <f>bdrateOld($D15:$D18,F15:F18,$M15:$M18,O15:O18)</f>
        <v>#VALUE!</v>
      </c>
      <c r="AB15" s="56" t="e">
        <f>bdrateOld($D15:$D18,G15:G18,$M15:$M18,P15:P18)</f>
        <v>#VALUE!</v>
      </c>
    </row>
    <row r="16" spans="1:28">
      <c r="A16" s="12"/>
      <c r="B16" s="12"/>
      <c r="C16" s="12">
        <v>27</v>
      </c>
      <c r="D16" s="13"/>
      <c r="E16" s="14"/>
      <c r="F16" s="14"/>
      <c r="G16" s="14"/>
      <c r="H16" s="14"/>
      <c r="I16" s="14"/>
      <c r="J16" s="14">
        <f t="shared" si="0"/>
        <v>0</v>
      </c>
      <c r="K16" s="24">
        <f t="shared" si="2"/>
        <v>0</v>
      </c>
      <c r="M16" s="25"/>
      <c r="N16" s="26"/>
      <c r="O16" s="26"/>
      <c r="P16" s="26"/>
      <c r="Q16" s="26"/>
      <c r="R16" s="26"/>
      <c r="S16" s="26">
        <f t="shared" si="1"/>
        <v>0</v>
      </c>
      <c r="T16" s="42">
        <f t="shared" si="3"/>
        <v>0</v>
      </c>
      <c r="U16" s="38"/>
      <c r="V16" s="43"/>
      <c r="W16" s="44"/>
      <c r="X16" s="44"/>
      <c r="Y16" s="44"/>
      <c r="Z16" s="43"/>
      <c r="AA16" s="44"/>
      <c r="AB16" s="45"/>
    </row>
    <row r="17" spans="1:28">
      <c r="A17" s="12"/>
      <c r="B17" s="12"/>
      <c r="C17" s="12">
        <v>32</v>
      </c>
      <c r="D17" s="13"/>
      <c r="E17" s="14"/>
      <c r="F17" s="14"/>
      <c r="G17" s="14"/>
      <c r="H17" s="14"/>
      <c r="I17" s="14"/>
      <c r="J17" s="14">
        <f t="shared" si="0"/>
        <v>0</v>
      </c>
      <c r="K17" s="24">
        <f t="shared" si="2"/>
        <v>0</v>
      </c>
      <c r="M17" s="25"/>
      <c r="N17" s="26"/>
      <c r="O17" s="26"/>
      <c r="P17" s="26"/>
      <c r="Q17" s="26"/>
      <c r="R17" s="26"/>
      <c r="S17" s="26">
        <f t="shared" si="1"/>
        <v>0</v>
      </c>
      <c r="T17" s="42">
        <f t="shared" si="3"/>
        <v>0</v>
      </c>
      <c r="U17" s="38"/>
      <c r="V17" s="43"/>
      <c r="W17" s="44"/>
      <c r="X17" s="44"/>
      <c r="Y17" s="44"/>
      <c r="Z17" s="43"/>
      <c r="AA17" s="44"/>
      <c r="AB17" s="45"/>
    </row>
    <row r="18" ht="12.15" spans="1:28">
      <c r="A18" s="15"/>
      <c r="B18" s="15"/>
      <c r="C18" s="15">
        <v>37</v>
      </c>
      <c r="D18" s="16"/>
      <c r="E18" s="17"/>
      <c r="F18" s="17"/>
      <c r="G18" s="17"/>
      <c r="H18" s="17"/>
      <c r="I18" s="17"/>
      <c r="J18" s="17">
        <f t="shared" si="0"/>
        <v>0</v>
      </c>
      <c r="K18" s="27">
        <f t="shared" si="2"/>
        <v>0</v>
      </c>
      <c r="M18" s="28"/>
      <c r="N18" s="29"/>
      <c r="O18" s="29"/>
      <c r="P18" s="29"/>
      <c r="Q18" s="29"/>
      <c r="R18" s="29"/>
      <c r="S18" s="29">
        <f t="shared" si="1"/>
        <v>0</v>
      </c>
      <c r="T18" s="46">
        <f t="shared" si="3"/>
        <v>0</v>
      </c>
      <c r="U18" s="38"/>
      <c r="V18" s="47"/>
      <c r="W18" s="48"/>
      <c r="X18" s="48"/>
      <c r="Y18" s="48"/>
      <c r="Z18" s="47"/>
      <c r="AA18" s="48"/>
      <c r="AB18" s="49"/>
    </row>
    <row r="19" spans="1:28">
      <c r="A19" s="9" t="s">
        <v>23</v>
      </c>
      <c r="B19" s="9" t="s">
        <v>24</v>
      </c>
      <c r="C19" s="9">
        <v>22</v>
      </c>
      <c r="D19" s="10"/>
      <c r="E19" s="11"/>
      <c r="F19" s="11"/>
      <c r="G19" s="11"/>
      <c r="H19" s="11"/>
      <c r="I19" s="11"/>
      <c r="J19" s="11">
        <f t="shared" si="0"/>
        <v>0</v>
      </c>
      <c r="K19" s="21">
        <f t="shared" si="2"/>
        <v>0</v>
      </c>
      <c r="M19" s="30"/>
      <c r="N19" s="31"/>
      <c r="O19" s="31"/>
      <c r="P19" s="31"/>
      <c r="Q19" s="31"/>
      <c r="R19" s="31"/>
      <c r="S19" s="11">
        <f t="shared" si="1"/>
        <v>0</v>
      </c>
      <c r="T19" s="21">
        <f t="shared" si="3"/>
        <v>0</v>
      </c>
      <c r="U19" s="38"/>
      <c r="V19" s="39" t="e">
        <f>bdrate($D19:$D22,E19:E22,$M19:$M22,N19:N22)</f>
        <v>#VALUE!</v>
      </c>
      <c r="W19" s="40" t="e">
        <f>bdrate($D19:$D22,F19:F22,$M19:$M22,O19:O22)</f>
        <v>#VALUE!</v>
      </c>
      <c r="X19" s="40" t="e">
        <f>bdrate($D19:$D22,G19:G22,$M19:$M22,P19:P22)</f>
        <v>#VALUE!</v>
      </c>
      <c r="Y19" s="40" t="e">
        <f>bdrate(D19:D22,J19:J22,M19:M22,S19:S22)</f>
        <v>#VALUE!</v>
      </c>
      <c r="Z19" s="54" t="e">
        <f>bdrateOld($D19:$D22,E19:E22,$M19:$M22,N19:N22)</f>
        <v>#VALUE!</v>
      </c>
      <c r="AA19" s="55" t="e">
        <f>bdrateOld($D19:$D22,F19:F22,$M19:$M22,O19:O22)</f>
        <v>#VALUE!</v>
      </c>
      <c r="AB19" s="56" t="e">
        <f>bdrateOld($D19:$D22,G19:G22,$M19:$M22,P19:P22)</f>
        <v>#VALUE!</v>
      </c>
    </row>
    <row r="20" spans="1:28">
      <c r="A20" s="12" t="s">
        <v>25</v>
      </c>
      <c r="B20" s="12"/>
      <c r="C20" s="12">
        <v>27</v>
      </c>
      <c r="D20" s="13"/>
      <c r="E20" s="14"/>
      <c r="F20" s="14"/>
      <c r="G20" s="14"/>
      <c r="H20" s="14"/>
      <c r="I20" s="14"/>
      <c r="J20" s="14">
        <f t="shared" si="0"/>
        <v>0</v>
      </c>
      <c r="K20" s="24">
        <f t="shared" si="2"/>
        <v>0</v>
      </c>
      <c r="M20" s="32"/>
      <c r="N20" s="33"/>
      <c r="O20" s="33"/>
      <c r="P20" s="33"/>
      <c r="Q20" s="33"/>
      <c r="R20" s="33"/>
      <c r="S20" s="14">
        <f t="shared" si="1"/>
        <v>0</v>
      </c>
      <c r="T20" s="24">
        <f t="shared" si="3"/>
        <v>0</v>
      </c>
      <c r="U20" s="38"/>
      <c r="V20" s="43"/>
      <c r="W20" s="44"/>
      <c r="X20" s="44"/>
      <c r="Y20" s="44"/>
      <c r="Z20" s="43"/>
      <c r="AA20" s="44"/>
      <c r="AB20" s="45"/>
    </row>
    <row r="21" spans="1:28">
      <c r="A21" s="12"/>
      <c r="B21" s="12"/>
      <c r="C21" s="12">
        <v>32</v>
      </c>
      <c r="D21" s="13"/>
      <c r="E21" s="14"/>
      <c r="F21" s="14"/>
      <c r="G21" s="14"/>
      <c r="H21" s="14"/>
      <c r="I21" s="14"/>
      <c r="J21" s="14">
        <f t="shared" si="0"/>
        <v>0</v>
      </c>
      <c r="K21" s="24">
        <f t="shared" si="2"/>
        <v>0</v>
      </c>
      <c r="M21" s="32"/>
      <c r="N21" s="33"/>
      <c r="O21" s="33"/>
      <c r="P21" s="33"/>
      <c r="Q21" s="33"/>
      <c r="R21" s="33"/>
      <c r="S21" s="14">
        <f t="shared" si="1"/>
        <v>0</v>
      </c>
      <c r="T21" s="24">
        <f t="shared" si="3"/>
        <v>0</v>
      </c>
      <c r="U21" s="38"/>
      <c r="V21" s="43"/>
      <c r="W21" s="44"/>
      <c r="X21" s="44"/>
      <c r="Y21" s="44"/>
      <c r="Z21" s="43"/>
      <c r="AA21" s="44"/>
      <c r="AB21" s="45"/>
    </row>
    <row r="22" ht="12.15" spans="1:28">
      <c r="A22" s="12"/>
      <c r="B22" s="15"/>
      <c r="C22" s="15">
        <v>37</v>
      </c>
      <c r="D22" s="16"/>
      <c r="E22" s="17"/>
      <c r="F22" s="17"/>
      <c r="G22" s="17"/>
      <c r="H22" s="17"/>
      <c r="I22" s="17"/>
      <c r="J22" s="17">
        <f t="shared" si="0"/>
        <v>0</v>
      </c>
      <c r="K22" s="27">
        <f t="shared" si="2"/>
        <v>0</v>
      </c>
      <c r="M22" s="34"/>
      <c r="N22" s="35"/>
      <c r="O22" s="35"/>
      <c r="P22" s="35"/>
      <c r="Q22" s="35"/>
      <c r="R22" s="35"/>
      <c r="S22" s="17">
        <f t="shared" si="1"/>
        <v>0</v>
      </c>
      <c r="T22" s="27">
        <f t="shared" si="3"/>
        <v>0</v>
      </c>
      <c r="U22" s="38"/>
      <c r="V22" s="47"/>
      <c r="W22" s="48"/>
      <c r="X22" s="48"/>
      <c r="Y22" s="48"/>
      <c r="Z22" s="47"/>
      <c r="AA22" s="48"/>
      <c r="AB22" s="49"/>
    </row>
    <row r="23" spans="1:28">
      <c r="A23" s="12"/>
      <c r="B23" s="9" t="s">
        <v>26</v>
      </c>
      <c r="C23" s="9">
        <v>22</v>
      </c>
      <c r="D23" s="10"/>
      <c r="E23" s="11"/>
      <c r="F23" s="11"/>
      <c r="G23" s="11"/>
      <c r="H23" s="11"/>
      <c r="I23" s="11"/>
      <c r="J23" s="11">
        <f t="shared" si="0"/>
        <v>0</v>
      </c>
      <c r="K23" s="21">
        <f t="shared" si="2"/>
        <v>0</v>
      </c>
      <c r="M23" s="30"/>
      <c r="N23" s="31"/>
      <c r="O23" s="31"/>
      <c r="P23" s="31"/>
      <c r="Q23" s="31"/>
      <c r="R23" s="31"/>
      <c r="S23" s="11">
        <f t="shared" si="1"/>
        <v>0</v>
      </c>
      <c r="T23" s="21">
        <f t="shared" si="3"/>
        <v>0</v>
      </c>
      <c r="U23" s="38"/>
      <c r="V23" s="39" t="e">
        <f>bdrate($D23:$D26,E23:E26,$M23:$M26,N23:N26)</f>
        <v>#VALUE!</v>
      </c>
      <c r="W23" s="40" t="e">
        <f>bdrate($D23:$D26,F23:F26,$M23:$M26,O23:O26)</f>
        <v>#VALUE!</v>
      </c>
      <c r="X23" s="40" t="e">
        <f>bdrate($D23:$D26,G23:G26,$M23:$M26,P23:P26)</f>
        <v>#VALUE!</v>
      </c>
      <c r="Y23" s="40" t="e">
        <f>bdrate(D23:D26,J23:J26,M23:M26,S23:S26)</f>
        <v>#VALUE!</v>
      </c>
      <c r="Z23" s="54" t="e">
        <f>bdrateOld($D23:$D26,E23:E26,$M23:$M26,N23:N26)</f>
        <v>#VALUE!</v>
      </c>
      <c r="AA23" s="55" t="e">
        <f>bdrateOld($D23:$D26,F23:F26,$M23:$M26,O23:O26)</f>
        <v>#VALUE!</v>
      </c>
      <c r="AB23" s="56" t="e">
        <f>bdrateOld($D23:$D26,G23:G26,$M23:$M26,P23:P26)</f>
        <v>#VALUE!</v>
      </c>
    </row>
    <row r="24" spans="1:28">
      <c r="A24" s="12"/>
      <c r="B24" s="12"/>
      <c r="C24" s="12">
        <v>27</v>
      </c>
      <c r="D24" s="13"/>
      <c r="E24" s="14"/>
      <c r="F24" s="14"/>
      <c r="G24" s="14"/>
      <c r="H24" s="14"/>
      <c r="I24" s="14"/>
      <c r="J24" s="14">
        <f t="shared" si="0"/>
        <v>0</v>
      </c>
      <c r="K24" s="24">
        <f t="shared" si="2"/>
        <v>0</v>
      </c>
      <c r="M24" s="32"/>
      <c r="N24" s="33"/>
      <c r="O24" s="33"/>
      <c r="P24" s="33"/>
      <c r="Q24" s="33"/>
      <c r="R24" s="33"/>
      <c r="S24" s="14">
        <f t="shared" si="1"/>
        <v>0</v>
      </c>
      <c r="T24" s="24">
        <f t="shared" si="3"/>
        <v>0</v>
      </c>
      <c r="U24" s="38"/>
      <c r="V24" s="43"/>
      <c r="W24" s="44"/>
      <c r="X24" s="44"/>
      <c r="Y24" s="44"/>
      <c r="Z24" s="43"/>
      <c r="AA24" s="44"/>
      <c r="AB24" s="45"/>
    </row>
    <row r="25" spans="1:28">
      <c r="A25" s="12"/>
      <c r="B25" s="12"/>
      <c r="C25" s="12">
        <v>32</v>
      </c>
      <c r="D25" s="13"/>
      <c r="E25" s="14"/>
      <c r="F25" s="14"/>
      <c r="G25" s="14"/>
      <c r="H25" s="14"/>
      <c r="I25" s="14"/>
      <c r="J25" s="14">
        <f t="shared" si="0"/>
        <v>0</v>
      </c>
      <c r="K25" s="24">
        <f t="shared" si="2"/>
        <v>0</v>
      </c>
      <c r="M25" s="32"/>
      <c r="N25" s="33"/>
      <c r="O25" s="33"/>
      <c r="P25" s="33"/>
      <c r="Q25" s="33"/>
      <c r="R25" s="33"/>
      <c r="S25" s="14">
        <f t="shared" si="1"/>
        <v>0</v>
      </c>
      <c r="T25" s="24">
        <f t="shared" si="3"/>
        <v>0</v>
      </c>
      <c r="U25" s="38"/>
      <c r="V25" s="43"/>
      <c r="W25" s="44"/>
      <c r="X25" s="44"/>
      <c r="Y25" s="44"/>
      <c r="Z25" s="43"/>
      <c r="AA25" s="44"/>
      <c r="AB25" s="45"/>
    </row>
    <row r="26" ht="12.15" spans="1:28">
      <c r="A26" s="12"/>
      <c r="B26" s="15"/>
      <c r="C26" s="15">
        <v>37</v>
      </c>
      <c r="D26" s="16"/>
      <c r="E26" s="17"/>
      <c r="F26" s="17"/>
      <c r="G26" s="17"/>
      <c r="H26" s="17"/>
      <c r="I26" s="17"/>
      <c r="J26" s="17">
        <f t="shared" si="0"/>
        <v>0</v>
      </c>
      <c r="K26" s="27">
        <f t="shared" si="2"/>
        <v>0</v>
      </c>
      <c r="M26" s="34"/>
      <c r="N26" s="35"/>
      <c r="O26" s="35"/>
      <c r="P26" s="35"/>
      <c r="Q26" s="35"/>
      <c r="R26" s="35"/>
      <c r="S26" s="17">
        <f t="shared" si="1"/>
        <v>0</v>
      </c>
      <c r="T26" s="27">
        <f t="shared" si="3"/>
        <v>0</v>
      </c>
      <c r="U26" s="38"/>
      <c r="V26" s="47"/>
      <c r="W26" s="48"/>
      <c r="X26" s="48"/>
      <c r="Y26" s="48"/>
      <c r="Z26" s="47"/>
      <c r="AA26" s="48"/>
      <c r="AB26" s="49"/>
    </row>
    <row r="27" spans="1:28">
      <c r="A27" s="12"/>
      <c r="B27" s="9" t="s">
        <v>27</v>
      </c>
      <c r="C27" s="9">
        <v>22</v>
      </c>
      <c r="D27" s="10"/>
      <c r="E27" s="11"/>
      <c r="F27" s="11"/>
      <c r="G27" s="11"/>
      <c r="H27" s="11"/>
      <c r="I27" s="11"/>
      <c r="J27" s="11">
        <f t="shared" si="0"/>
        <v>0</v>
      </c>
      <c r="K27" s="21">
        <f t="shared" si="2"/>
        <v>0</v>
      </c>
      <c r="M27" s="30"/>
      <c r="N27" s="31"/>
      <c r="O27" s="31"/>
      <c r="P27" s="31"/>
      <c r="Q27" s="31"/>
      <c r="R27" s="31"/>
      <c r="S27" s="11">
        <f t="shared" si="1"/>
        <v>0</v>
      </c>
      <c r="T27" s="21">
        <f t="shared" si="3"/>
        <v>0</v>
      </c>
      <c r="U27" s="38"/>
      <c r="V27" s="39" t="e">
        <f>bdrate($D27:$D30,E27:E30,$M27:$M30,N27:N30)</f>
        <v>#VALUE!</v>
      </c>
      <c r="W27" s="40" t="e">
        <f>bdrate($D27:$D30,F27:F30,$M27:$M30,O27:O30)</f>
        <v>#VALUE!</v>
      </c>
      <c r="X27" s="40" t="e">
        <f>bdrate($D27:$D30,G27:G30,$M27:$M30,P27:P30)</f>
        <v>#VALUE!</v>
      </c>
      <c r="Y27" s="40" t="e">
        <f>bdrate(D27:D30,J27:J30,M27:M30,S27:S30)</f>
        <v>#VALUE!</v>
      </c>
      <c r="Z27" s="54" t="e">
        <f>bdrateOld($D27:$D30,E27:E30,$M27:$M30,N27:N30)</f>
        <v>#VALUE!</v>
      </c>
      <c r="AA27" s="55" t="e">
        <f>bdrateOld($D27:$D30,F27:F30,$M27:$M30,O27:O30)</f>
        <v>#VALUE!</v>
      </c>
      <c r="AB27" s="56" t="e">
        <f>bdrateOld($D27:$D30,G27:G30,$M27:$M30,P27:P30)</f>
        <v>#VALUE!</v>
      </c>
    </row>
    <row r="28" spans="1:28">
      <c r="A28" s="12"/>
      <c r="B28" s="12"/>
      <c r="C28" s="12">
        <v>27</v>
      </c>
      <c r="D28" s="13"/>
      <c r="E28" s="14"/>
      <c r="F28" s="14"/>
      <c r="G28" s="14"/>
      <c r="H28" s="14"/>
      <c r="I28" s="14"/>
      <c r="J28" s="14">
        <f t="shared" si="0"/>
        <v>0</v>
      </c>
      <c r="K28" s="24">
        <f t="shared" si="2"/>
        <v>0</v>
      </c>
      <c r="M28" s="32"/>
      <c r="N28" s="33"/>
      <c r="O28" s="33"/>
      <c r="P28" s="33"/>
      <c r="Q28" s="33"/>
      <c r="R28" s="33"/>
      <c r="S28" s="14">
        <f t="shared" si="1"/>
        <v>0</v>
      </c>
      <c r="T28" s="24">
        <f t="shared" si="3"/>
        <v>0</v>
      </c>
      <c r="U28" s="38"/>
      <c r="V28" s="43"/>
      <c r="W28" s="44"/>
      <c r="X28" s="44"/>
      <c r="Y28" s="44"/>
      <c r="Z28" s="43"/>
      <c r="AA28" s="44"/>
      <c r="AB28" s="45"/>
    </row>
    <row r="29" spans="1:28">
      <c r="A29" s="12"/>
      <c r="B29" s="12"/>
      <c r="C29" s="12">
        <v>32</v>
      </c>
      <c r="D29" s="13"/>
      <c r="E29" s="14"/>
      <c r="F29" s="14"/>
      <c r="G29" s="14"/>
      <c r="H29" s="14"/>
      <c r="I29" s="14"/>
      <c r="J29" s="14">
        <f t="shared" si="0"/>
        <v>0</v>
      </c>
      <c r="K29" s="24">
        <f t="shared" si="2"/>
        <v>0</v>
      </c>
      <c r="M29" s="32"/>
      <c r="N29" s="33"/>
      <c r="O29" s="33"/>
      <c r="P29" s="33"/>
      <c r="Q29" s="33"/>
      <c r="R29" s="33"/>
      <c r="S29" s="14">
        <f t="shared" si="1"/>
        <v>0</v>
      </c>
      <c r="T29" s="24">
        <f t="shared" si="3"/>
        <v>0</v>
      </c>
      <c r="U29" s="38"/>
      <c r="V29" s="43"/>
      <c r="W29" s="44"/>
      <c r="X29" s="44"/>
      <c r="Y29" s="44"/>
      <c r="Z29" s="43"/>
      <c r="AA29" s="44"/>
      <c r="AB29" s="45"/>
    </row>
    <row r="30" ht="12.15" spans="1:28">
      <c r="A30" s="12"/>
      <c r="B30" s="15"/>
      <c r="C30" s="15">
        <v>37</v>
      </c>
      <c r="D30" s="16"/>
      <c r="E30" s="17"/>
      <c r="F30" s="17"/>
      <c r="G30" s="17"/>
      <c r="H30" s="17"/>
      <c r="I30" s="17"/>
      <c r="J30" s="17">
        <f t="shared" si="0"/>
        <v>0</v>
      </c>
      <c r="K30" s="27">
        <f t="shared" si="2"/>
        <v>0</v>
      </c>
      <c r="M30" s="34"/>
      <c r="N30" s="35"/>
      <c r="O30" s="35"/>
      <c r="P30" s="35"/>
      <c r="Q30" s="35"/>
      <c r="R30" s="35"/>
      <c r="S30" s="17">
        <f t="shared" si="1"/>
        <v>0</v>
      </c>
      <c r="T30" s="27">
        <f t="shared" si="3"/>
        <v>0</v>
      </c>
      <c r="U30" s="38"/>
      <c r="V30" s="47"/>
      <c r="W30" s="48"/>
      <c r="X30" s="48"/>
      <c r="Y30" s="48"/>
      <c r="Z30" s="47"/>
      <c r="AA30" s="48"/>
      <c r="AB30" s="49"/>
    </row>
    <row r="31" spans="1:28">
      <c r="A31" s="12"/>
      <c r="B31" s="9" t="s">
        <v>28</v>
      </c>
      <c r="C31" s="9">
        <v>22</v>
      </c>
      <c r="D31" s="10"/>
      <c r="E31" s="11"/>
      <c r="F31" s="11"/>
      <c r="G31" s="11"/>
      <c r="H31" s="11"/>
      <c r="I31" s="11"/>
      <c r="J31" s="11">
        <f t="shared" si="0"/>
        <v>0</v>
      </c>
      <c r="K31" s="21">
        <f t="shared" si="2"/>
        <v>0</v>
      </c>
      <c r="M31" s="30"/>
      <c r="N31" s="31"/>
      <c r="O31" s="31"/>
      <c r="P31" s="31"/>
      <c r="Q31" s="31"/>
      <c r="R31" s="31"/>
      <c r="S31" s="11">
        <f t="shared" si="1"/>
        <v>0</v>
      </c>
      <c r="T31" s="21">
        <f t="shared" si="3"/>
        <v>0</v>
      </c>
      <c r="U31" s="38"/>
      <c r="V31" s="39" t="e">
        <f>bdrate($D31:$D34,E31:E34,$M31:$M34,N31:N34)</f>
        <v>#VALUE!</v>
      </c>
      <c r="W31" s="40" t="e">
        <f>bdrate($D31:$D34,F31:F34,$M31:$M34,O31:O34)</f>
        <v>#VALUE!</v>
      </c>
      <c r="X31" s="40" t="e">
        <f>bdrate($D31:$D34,G31:G34,$M31:$M34,P31:P34)</f>
        <v>#VALUE!</v>
      </c>
      <c r="Y31" s="40" t="e">
        <f>bdrate(D31:D34,J31:J34,M31:M34,S31:S34)</f>
        <v>#VALUE!</v>
      </c>
      <c r="Z31" s="54" t="e">
        <f>bdrateOld($D31:$D34,E31:E34,$M31:$M34,N31:N34)</f>
        <v>#VALUE!</v>
      </c>
      <c r="AA31" s="55" t="e">
        <f>bdrateOld($D31:$D34,F31:F34,$M31:$M34,O31:O34)</f>
        <v>#VALUE!</v>
      </c>
      <c r="AB31" s="56" t="e">
        <f>bdrateOld($D31:$D34,G31:G34,$M31:$M34,P31:P34)</f>
        <v>#VALUE!</v>
      </c>
    </row>
    <row r="32" spans="1:28">
      <c r="A32" s="12"/>
      <c r="B32" s="12"/>
      <c r="C32" s="12">
        <v>27</v>
      </c>
      <c r="D32" s="13"/>
      <c r="E32" s="14"/>
      <c r="F32" s="14"/>
      <c r="G32" s="14"/>
      <c r="H32" s="14"/>
      <c r="I32" s="14"/>
      <c r="J32" s="14">
        <f t="shared" si="0"/>
        <v>0</v>
      </c>
      <c r="K32" s="24">
        <f t="shared" si="2"/>
        <v>0</v>
      </c>
      <c r="M32" s="32"/>
      <c r="N32" s="33"/>
      <c r="O32" s="33"/>
      <c r="P32" s="33"/>
      <c r="Q32" s="33"/>
      <c r="R32" s="33"/>
      <c r="S32" s="14">
        <f t="shared" si="1"/>
        <v>0</v>
      </c>
      <c r="T32" s="24">
        <f t="shared" si="3"/>
        <v>0</v>
      </c>
      <c r="U32" s="38"/>
      <c r="V32" s="43"/>
      <c r="W32" s="44"/>
      <c r="X32" s="44"/>
      <c r="Y32" s="44"/>
      <c r="Z32" s="43"/>
      <c r="AA32" s="44"/>
      <c r="AB32" s="45"/>
    </row>
    <row r="33" spans="1:28">
      <c r="A33" s="12"/>
      <c r="B33" s="12"/>
      <c r="C33" s="12">
        <v>32</v>
      </c>
      <c r="D33" s="13"/>
      <c r="E33" s="14"/>
      <c r="F33" s="14"/>
      <c r="G33" s="14"/>
      <c r="H33" s="14"/>
      <c r="I33" s="14"/>
      <c r="J33" s="14">
        <f t="shared" si="0"/>
        <v>0</v>
      </c>
      <c r="K33" s="24">
        <f t="shared" si="2"/>
        <v>0</v>
      </c>
      <c r="M33" s="32"/>
      <c r="N33" s="33"/>
      <c r="O33" s="33"/>
      <c r="P33" s="33"/>
      <c r="Q33" s="33"/>
      <c r="R33" s="33"/>
      <c r="S33" s="14">
        <f t="shared" si="1"/>
        <v>0</v>
      </c>
      <c r="T33" s="24">
        <f t="shared" si="3"/>
        <v>0</v>
      </c>
      <c r="U33" s="38"/>
      <c r="V33" s="43"/>
      <c r="W33" s="44"/>
      <c r="X33" s="44"/>
      <c r="Y33" s="44"/>
      <c r="Z33" s="43"/>
      <c r="AA33" s="44"/>
      <c r="AB33" s="45"/>
    </row>
    <row r="34" ht="12.15" spans="1:28">
      <c r="A34" s="12"/>
      <c r="B34" s="15"/>
      <c r="C34" s="15">
        <v>37</v>
      </c>
      <c r="D34" s="16"/>
      <c r="E34" s="17"/>
      <c r="F34" s="17"/>
      <c r="G34" s="17"/>
      <c r="H34" s="17"/>
      <c r="I34" s="17"/>
      <c r="J34" s="17">
        <f t="shared" si="0"/>
        <v>0</v>
      </c>
      <c r="K34" s="27">
        <f t="shared" si="2"/>
        <v>0</v>
      </c>
      <c r="M34" s="34"/>
      <c r="N34" s="35"/>
      <c r="O34" s="35"/>
      <c r="P34" s="35"/>
      <c r="Q34" s="35"/>
      <c r="R34" s="35"/>
      <c r="S34" s="17">
        <f t="shared" si="1"/>
        <v>0</v>
      </c>
      <c r="T34" s="27">
        <f t="shared" si="3"/>
        <v>0</v>
      </c>
      <c r="U34" s="38"/>
      <c r="V34" s="47"/>
      <c r="W34" s="48"/>
      <c r="X34" s="48"/>
      <c r="Y34" s="48"/>
      <c r="Z34" s="47"/>
      <c r="AA34" s="48"/>
      <c r="AB34" s="49"/>
    </row>
    <row r="35" spans="1:28">
      <c r="A35" s="12"/>
      <c r="B35" s="9" t="s">
        <v>29</v>
      </c>
      <c r="C35" s="9">
        <v>22</v>
      </c>
      <c r="D35" s="10"/>
      <c r="E35" s="11"/>
      <c r="F35" s="11"/>
      <c r="G35" s="11"/>
      <c r="H35" s="11"/>
      <c r="I35" s="11"/>
      <c r="J35" s="11">
        <f t="shared" si="0"/>
        <v>0</v>
      </c>
      <c r="K35" s="21">
        <f t="shared" si="2"/>
        <v>0</v>
      </c>
      <c r="M35" s="30"/>
      <c r="N35" s="31"/>
      <c r="O35" s="31"/>
      <c r="P35" s="31"/>
      <c r="Q35" s="31"/>
      <c r="R35" s="31"/>
      <c r="S35" s="11">
        <f t="shared" si="1"/>
        <v>0</v>
      </c>
      <c r="T35" s="21">
        <f t="shared" si="3"/>
        <v>0</v>
      </c>
      <c r="U35" s="38"/>
      <c r="V35" s="39" t="e">
        <f>bdrate($D35:$D38,E35:E38,$M35:$M38,N35:N38)</f>
        <v>#VALUE!</v>
      </c>
      <c r="W35" s="40" t="e">
        <f>bdrate($D35:$D38,F35:F38,$M35:$M38,O35:O38)</f>
        <v>#VALUE!</v>
      </c>
      <c r="X35" s="40" t="e">
        <f>bdrate($D35:$D38,G35:G38,$M35:$M38,P35:P38)</f>
        <v>#VALUE!</v>
      </c>
      <c r="Y35" s="40" t="e">
        <f>bdrate(D35:D38,J35:J38,M35:M38,S35:S38)</f>
        <v>#VALUE!</v>
      </c>
      <c r="Z35" s="54" t="e">
        <f>bdrateOld($D35:$D38,E35:E38,$M35:$M38,N35:N38)</f>
        <v>#VALUE!</v>
      </c>
      <c r="AA35" s="55" t="e">
        <f>bdrateOld($D35:$D38,F35:F38,$M35:$M38,O35:O38)</f>
        <v>#VALUE!</v>
      </c>
      <c r="AB35" s="56" t="e">
        <f>bdrateOld($D35:$D38,G35:G38,$M35:$M38,P35:P38)</f>
        <v>#VALUE!</v>
      </c>
    </row>
    <row r="36" spans="1:28">
      <c r="A36" s="12"/>
      <c r="B36" s="12"/>
      <c r="C36" s="12">
        <v>27</v>
      </c>
      <c r="D36" s="13"/>
      <c r="E36" s="14"/>
      <c r="F36" s="14"/>
      <c r="G36" s="14"/>
      <c r="H36" s="14"/>
      <c r="I36" s="14"/>
      <c r="J36" s="14">
        <f t="shared" si="0"/>
        <v>0</v>
      </c>
      <c r="K36" s="24">
        <f t="shared" si="2"/>
        <v>0</v>
      </c>
      <c r="M36" s="32"/>
      <c r="N36" s="33"/>
      <c r="O36" s="33"/>
      <c r="P36" s="33"/>
      <c r="Q36" s="33"/>
      <c r="R36" s="33"/>
      <c r="S36" s="14">
        <f t="shared" si="1"/>
        <v>0</v>
      </c>
      <c r="T36" s="24">
        <f t="shared" si="3"/>
        <v>0</v>
      </c>
      <c r="U36" s="38"/>
      <c r="V36" s="43"/>
      <c r="W36" s="44"/>
      <c r="X36" s="44"/>
      <c r="Y36" s="44"/>
      <c r="Z36" s="43"/>
      <c r="AA36" s="44"/>
      <c r="AB36" s="45"/>
    </row>
    <row r="37" spans="1:28">
      <c r="A37" s="12"/>
      <c r="B37" s="12"/>
      <c r="C37" s="12">
        <v>32</v>
      </c>
      <c r="D37" s="13"/>
      <c r="E37" s="14"/>
      <c r="F37" s="14"/>
      <c r="G37" s="14"/>
      <c r="H37" s="14"/>
      <c r="I37" s="14"/>
      <c r="J37" s="14">
        <f t="shared" si="0"/>
        <v>0</v>
      </c>
      <c r="K37" s="24">
        <f t="shared" si="2"/>
        <v>0</v>
      </c>
      <c r="M37" s="32"/>
      <c r="N37" s="33"/>
      <c r="O37" s="33"/>
      <c r="P37" s="33"/>
      <c r="Q37" s="33"/>
      <c r="R37" s="33"/>
      <c r="S37" s="14">
        <f t="shared" si="1"/>
        <v>0</v>
      </c>
      <c r="T37" s="24">
        <f t="shared" si="3"/>
        <v>0</v>
      </c>
      <c r="U37" s="38"/>
      <c r="V37" s="43"/>
      <c r="W37" s="44"/>
      <c r="X37" s="44"/>
      <c r="Y37" s="44"/>
      <c r="Z37" s="43"/>
      <c r="AA37" s="44"/>
      <c r="AB37" s="45"/>
    </row>
    <row r="38" ht="12.15" spans="1:28">
      <c r="A38" s="15"/>
      <c r="B38" s="15"/>
      <c r="C38" s="15">
        <v>37</v>
      </c>
      <c r="D38" s="16"/>
      <c r="E38" s="17"/>
      <c r="F38" s="17"/>
      <c r="G38" s="17"/>
      <c r="H38" s="17"/>
      <c r="I38" s="17"/>
      <c r="J38" s="17">
        <f t="shared" si="0"/>
        <v>0</v>
      </c>
      <c r="K38" s="27">
        <f t="shared" si="2"/>
        <v>0</v>
      </c>
      <c r="M38" s="34"/>
      <c r="N38" s="35"/>
      <c r="O38" s="35"/>
      <c r="P38" s="35"/>
      <c r="Q38" s="35"/>
      <c r="R38" s="35"/>
      <c r="S38" s="17">
        <f t="shared" si="1"/>
        <v>0</v>
      </c>
      <c r="T38" s="27">
        <f t="shared" si="3"/>
        <v>0</v>
      </c>
      <c r="U38" s="38"/>
      <c r="V38" s="47"/>
      <c r="W38" s="48"/>
      <c r="X38" s="48"/>
      <c r="Y38" s="48"/>
      <c r="Z38" s="47"/>
      <c r="AA38" s="48"/>
      <c r="AB38" s="49"/>
    </row>
    <row r="39" spans="1:28">
      <c r="A39" s="9" t="s">
        <v>30</v>
      </c>
      <c r="B39" s="9" t="s">
        <v>31</v>
      </c>
      <c r="C39" s="9">
        <v>22</v>
      </c>
      <c r="D39" s="10"/>
      <c r="E39" s="11"/>
      <c r="F39" s="11"/>
      <c r="G39" s="11"/>
      <c r="H39" s="11"/>
      <c r="I39" s="11"/>
      <c r="J39" s="11">
        <f t="shared" si="0"/>
        <v>0</v>
      </c>
      <c r="K39" s="21">
        <f t="shared" si="2"/>
        <v>0</v>
      </c>
      <c r="M39" s="30"/>
      <c r="N39" s="31"/>
      <c r="O39" s="31"/>
      <c r="P39" s="31"/>
      <c r="Q39" s="31"/>
      <c r="R39" s="31"/>
      <c r="S39" s="11">
        <f t="shared" si="1"/>
        <v>0</v>
      </c>
      <c r="T39" s="21">
        <f t="shared" si="3"/>
        <v>0</v>
      </c>
      <c r="U39" s="38"/>
      <c r="V39" s="39" t="e">
        <f>bdrate($D39:$D42,E39:E42,$M39:$M42,N39:N42)</f>
        <v>#VALUE!</v>
      </c>
      <c r="W39" s="40" t="e">
        <f>bdrate($D39:$D42,F39:F42,$M39:$M42,O39:O42)</f>
        <v>#VALUE!</v>
      </c>
      <c r="X39" s="40" t="e">
        <f>bdrate($D39:$D42,G39:G42,$M39:$M42,P39:P42)</f>
        <v>#VALUE!</v>
      </c>
      <c r="Y39" s="40" t="e">
        <f>bdrate(D39:D42,J39:J42,M39:M42,S39:S42)</f>
        <v>#VALUE!</v>
      </c>
      <c r="Z39" s="54" t="e">
        <f>bdrateOld($D39:$D42,E39:E42,$M39:$M42,N39:N42)</f>
        <v>#VALUE!</v>
      </c>
      <c r="AA39" s="55" t="e">
        <f>bdrateOld($D39:$D42,F39:F42,$M39:$M42,O39:O42)</f>
        <v>#VALUE!</v>
      </c>
      <c r="AB39" s="56" t="e">
        <f>bdrateOld($D39:$D42,G39:G42,$M39:$M42,P39:P42)</f>
        <v>#VALUE!</v>
      </c>
    </row>
    <row r="40" spans="1:28">
      <c r="A40" s="12" t="s">
        <v>32</v>
      </c>
      <c r="B40" s="12"/>
      <c r="C40" s="12">
        <v>27</v>
      </c>
      <c r="D40" s="13"/>
      <c r="E40" s="14"/>
      <c r="F40" s="14"/>
      <c r="G40" s="14"/>
      <c r="H40" s="14"/>
      <c r="I40" s="14"/>
      <c r="J40" s="14">
        <f t="shared" si="0"/>
        <v>0</v>
      </c>
      <c r="K40" s="24">
        <f t="shared" si="2"/>
        <v>0</v>
      </c>
      <c r="M40" s="32"/>
      <c r="N40" s="33"/>
      <c r="O40" s="33"/>
      <c r="P40" s="33"/>
      <c r="Q40" s="33"/>
      <c r="R40" s="33"/>
      <c r="S40" s="14">
        <f t="shared" si="1"/>
        <v>0</v>
      </c>
      <c r="T40" s="24">
        <f t="shared" si="3"/>
        <v>0</v>
      </c>
      <c r="U40" s="38"/>
      <c r="V40" s="43"/>
      <c r="W40" s="44"/>
      <c r="X40" s="44"/>
      <c r="Y40" s="44"/>
      <c r="Z40" s="43"/>
      <c r="AA40" s="44"/>
      <c r="AB40" s="45"/>
    </row>
    <row r="41" spans="1:28">
      <c r="A41" s="12"/>
      <c r="B41" s="12"/>
      <c r="C41" s="12">
        <v>32</v>
      </c>
      <c r="D41" s="13"/>
      <c r="E41" s="14"/>
      <c r="F41" s="14"/>
      <c r="G41" s="14"/>
      <c r="H41" s="14"/>
      <c r="I41" s="14"/>
      <c r="J41" s="14">
        <f t="shared" si="0"/>
        <v>0</v>
      </c>
      <c r="K41" s="24">
        <f t="shared" si="2"/>
        <v>0</v>
      </c>
      <c r="M41" s="32"/>
      <c r="N41" s="33"/>
      <c r="O41" s="33"/>
      <c r="P41" s="33"/>
      <c r="Q41" s="33"/>
      <c r="R41" s="33"/>
      <c r="S41" s="14">
        <f t="shared" si="1"/>
        <v>0</v>
      </c>
      <c r="T41" s="24">
        <f t="shared" si="3"/>
        <v>0</v>
      </c>
      <c r="U41" s="38"/>
      <c r="V41" s="43"/>
      <c r="W41" s="44"/>
      <c r="X41" s="44"/>
      <c r="Y41" s="44"/>
      <c r="Z41" s="43"/>
      <c r="AA41" s="44"/>
      <c r="AB41" s="45"/>
    </row>
    <row r="42" ht="12.15" spans="1:28">
      <c r="A42" s="12"/>
      <c r="B42" s="15"/>
      <c r="C42" s="15">
        <v>37</v>
      </c>
      <c r="D42" s="16"/>
      <c r="E42" s="17"/>
      <c r="F42" s="17"/>
      <c r="G42" s="17"/>
      <c r="H42" s="17"/>
      <c r="I42" s="17"/>
      <c r="J42" s="17">
        <f t="shared" si="0"/>
        <v>0</v>
      </c>
      <c r="K42" s="27">
        <f t="shared" si="2"/>
        <v>0</v>
      </c>
      <c r="M42" s="34"/>
      <c r="N42" s="35"/>
      <c r="O42" s="35"/>
      <c r="P42" s="35"/>
      <c r="Q42" s="35"/>
      <c r="R42" s="35"/>
      <c r="S42" s="17">
        <f t="shared" si="1"/>
        <v>0</v>
      </c>
      <c r="T42" s="27">
        <f t="shared" si="3"/>
        <v>0</v>
      </c>
      <c r="U42" s="38"/>
      <c r="V42" s="47"/>
      <c r="W42" s="48"/>
      <c r="X42" s="48"/>
      <c r="Y42" s="48"/>
      <c r="Z42" s="47"/>
      <c r="AA42" s="48"/>
      <c r="AB42" s="49"/>
    </row>
    <row r="43" spans="1:28">
      <c r="A43" s="12"/>
      <c r="B43" s="9" t="s">
        <v>33</v>
      </c>
      <c r="C43" s="9">
        <v>22</v>
      </c>
      <c r="D43" s="10"/>
      <c r="E43" s="11"/>
      <c r="F43" s="11"/>
      <c r="G43" s="11"/>
      <c r="H43" s="11"/>
      <c r="I43" s="11"/>
      <c r="J43" s="11">
        <f t="shared" si="0"/>
        <v>0</v>
      </c>
      <c r="K43" s="21">
        <f t="shared" si="2"/>
        <v>0</v>
      </c>
      <c r="M43" s="30"/>
      <c r="N43" s="31"/>
      <c r="O43" s="31"/>
      <c r="P43" s="31"/>
      <c r="Q43" s="31"/>
      <c r="R43" s="31"/>
      <c r="S43" s="11">
        <f t="shared" si="1"/>
        <v>0</v>
      </c>
      <c r="T43" s="21">
        <f t="shared" si="3"/>
        <v>0</v>
      </c>
      <c r="U43" s="38"/>
      <c r="V43" s="39" t="e">
        <f>bdrate($D43:$D46,E43:E46,$M43:$M46,N43:N46)</f>
        <v>#VALUE!</v>
      </c>
      <c r="W43" s="40" t="e">
        <f>bdrate($D43:$D46,F43:F46,$M43:$M46,O43:O46)</f>
        <v>#VALUE!</v>
      </c>
      <c r="X43" s="40" t="e">
        <f>bdrate($D43:$D46,G43:G46,$M43:$M46,P43:P46)</f>
        <v>#VALUE!</v>
      </c>
      <c r="Y43" s="40" t="e">
        <f>bdrate(D43:D46,J43:J46,M43:M46,S43:S46)</f>
        <v>#VALUE!</v>
      </c>
      <c r="Z43" s="54" t="e">
        <f>bdrateOld($D43:$D46,E43:E46,$M43:$M46,N43:N46)</f>
        <v>#VALUE!</v>
      </c>
      <c r="AA43" s="55" t="e">
        <f>bdrateOld($D43:$D46,F43:F46,$M43:$M46,O43:O46)</f>
        <v>#VALUE!</v>
      </c>
      <c r="AB43" s="56" t="e">
        <f>bdrateOld($D43:$D46,G43:G46,$M43:$M46,P43:P46)</f>
        <v>#VALUE!</v>
      </c>
    </row>
    <row r="44" spans="1:28">
      <c r="A44" s="12"/>
      <c r="B44" s="12"/>
      <c r="C44" s="12">
        <v>27</v>
      </c>
      <c r="D44" s="13"/>
      <c r="E44" s="14"/>
      <c r="F44" s="14"/>
      <c r="G44" s="14"/>
      <c r="H44" s="14"/>
      <c r="I44" s="14"/>
      <c r="J44" s="14">
        <f t="shared" si="0"/>
        <v>0</v>
      </c>
      <c r="K44" s="24">
        <f t="shared" si="2"/>
        <v>0</v>
      </c>
      <c r="M44" s="32"/>
      <c r="N44" s="33"/>
      <c r="O44" s="33"/>
      <c r="P44" s="33"/>
      <c r="Q44" s="33"/>
      <c r="R44" s="33"/>
      <c r="S44" s="14">
        <f t="shared" si="1"/>
        <v>0</v>
      </c>
      <c r="T44" s="24">
        <f t="shared" si="3"/>
        <v>0</v>
      </c>
      <c r="U44" s="38"/>
      <c r="V44" s="43"/>
      <c r="W44" s="44"/>
      <c r="X44" s="44"/>
      <c r="Y44" s="44"/>
      <c r="Z44" s="43"/>
      <c r="AA44" s="44"/>
      <c r="AB44" s="45"/>
    </row>
    <row r="45" spans="1:28">
      <c r="A45" s="12"/>
      <c r="B45" s="12"/>
      <c r="C45" s="12">
        <v>32</v>
      </c>
      <c r="D45" s="13"/>
      <c r="E45" s="14"/>
      <c r="F45" s="14"/>
      <c r="G45" s="14"/>
      <c r="H45" s="14"/>
      <c r="I45" s="14"/>
      <c r="J45" s="14">
        <f t="shared" si="0"/>
        <v>0</v>
      </c>
      <c r="K45" s="24">
        <f t="shared" si="2"/>
        <v>0</v>
      </c>
      <c r="M45" s="32"/>
      <c r="N45" s="33"/>
      <c r="O45" s="33"/>
      <c r="P45" s="33"/>
      <c r="Q45" s="33"/>
      <c r="R45" s="33"/>
      <c r="S45" s="14">
        <f t="shared" si="1"/>
        <v>0</v>
      </c>
      <c r="T45" s="24">
        <f t="shared" si="3"/>
        <v>0</v>
      </c>
      <c r="U45" s="38"/>
      <c r="V45" s="43"/>
      <c r="W45" s="44"/>
      <c r="X45" s="44"/>
      <c r="Y45" s="44"/>
      <c r="Z45" s="43"/>
      <c r="AA45" s="44"/>
      <c r="AB45" s="45"/>
    </row>
    <row r="46" ht="12.15" spans="1:28">
      <c r="A46" s="12"/>
      <c r="B46" s="15"/>
      <c r="C46" s="15">
        <v>37</v>
      </c>
      <c r="D46" s="16"/>
      <c r="E46" s="17"/>
      <c r="F46" s="17"/>
      <c r="G46" s="17"/>
      <c r="H46" s="17"/>
      <c r="I46" s="17"/>
      <c r="J46" s="17">
        <f t="shared" si="0"/>
        <v>0</v>
      </c>
      <c r="K46" s="27">
        <f t="shared" si="2"/>
        <v>0</v>
      </c>
      <c r="M46" s="34"/>
      <c r="N46" s="35"/>
      <c r="O46" s="35"/>
      <c r="P46" s="35"/>
      <c r="Q46" s="35"/>
      <c r="R46" s="35"/>
      <c r="S46" s="17">
        <f t="shared" si="1"/>
        <v>0</v>
      </c>
      <c r="T46" s="27">
        <f t="shared" si="3"/>
        <v>0</v>
      </c>
      <c r="U46" s="38"/>
      <c r="V46" s="47"/>
      <c r="W46" s="48"/>
      <c r="X46" s="48"/>
      <c r="Y46" s="48"/>
      <c r="Z46" s="47"/>
      <c r="AA46" s="48"/>
      <c r="AB46" s="49"/>
    </row>
    <row r="47" spans="1:28">
      <c r="A47" s="12"/>
      <c r="B47" s="9" t="s">
        <v>34</v>
      </c>
      <c r="C47" s="9">
        <v>22</v>
      </c>
      <c r="D47" s="10"/>
      <c r="E47" s="11"/>
      <c r="F47" s="11"/>
      <c r="G47" s="11"/>
      <c r="H47" s="11"/>
      <c r="I47" s="11"/>
      <c r="J47" s="11">
        <f t="shared" si="0"/>
        <v>0</v>
      </c>
      <c r="K47" s="21">
        <f t="shared" si="2"/>
        <v>0</v>
      </c>
      <c r="M47" s="30"/>
      <c r="N47" s="31"/>
      <c r="O47" s="31"/>
      <c r="P47" s="31"/>
      <c r="Q47" s="31"/>
      <c r="R47" s="31"/>
      <c r="S47" s="11">
        <f t="shared" si="1"/>
        <v>0</v>
      </c>
      <c r="T47" s="21">
        <f t="shared" si="3"/>
        <v>0</v>
      </c>
      <c r="U47" s="38"/>
      <c r="V47" s="39" t="e">
        <f>bdrate($D47:$D50,E47:E50,$M47:$M50,N47:N50)</f>
        <v>#VALUE!</v>
      </c>
      <c r="W47" s="40" t="e">
        <f>bdrate($D47:$D50,F47:F50,$M47:$M50,O47:O50)</f>
        <v>#VALUE!</v>
      </c>
      <c r="X47" s="40" t="e">
        <f>bdrate($D47:$D50,G47:G50,$M47:$M50,P47:P50)</f>
        <v>#VALUE!</v>
      </c>
      <c r="Y47" s="40" t="e">
        <f>bdrate(D47:D50,J47:J50,M47:M50,S47:S50)</f>
        <v>#VALUE!</v>
      </c>
      <c r="Z47" s="54" t="e">
        <f>bdrateOld($D47:$D50,E47:E50,$M47:$M50,N47:N50)</f>
        <v>#VALUE!</v>
      </c>
      <c r="AA47" s="55" t="e">
        <f>bdrateOld($D47:$D50,F47:F50,$M47:$M50,O47:O50)</f>
        <v>#VALUE!</v>
      </c>
      <c r="AB47" s="56" t="e">
        <f>bdrateOld($D47:$D50,G47:G50,$M47:$M50,P47:P50)</f>
        <v>#VALUE!</v>
      </c>
    </row>
    <row r="48" spans="1:28">
      <c r="A48" s="12"/>
      <c r="B48" s="12"/>
      <c r="C48" s="12">
        <v>27</v>
      </c>
      <c r="D48" s="13"/>
      <c r="E48" s="14"/>
      <c r="F48" s="14"/>
      <c r="G48" s="14"/>
      <c r="H48" s="14"/>
      <c r="I48" s="14"/>
      <c r="J48" s="14">
        <f t="shared" si="0"/>
        <v>0</v>
      </c>
      <c r="K48" s="24">
        <f t="shared" si="2"/>
        <v>0</v>
      </c>
      <c r="M48" s="32"/>
      <c r="N48" s="33"/>
      <c r="O48" s="33"/>
      <c r="P48" s="33"/>
      <c r="Q48" s="33"/>
      <c r="R48" s="33"/>
      <c r="S48" s="14">
        <f t="shared" si="1"/>
        <v>0</v>
      </c>
      <c r="T48" s="24">
        <f t="shared" si="3"/>
        <v>0</v>
      </c>
      <c r="U48" s="38"/>
      <c r="V48" s="43"/>
      <c r="W48" s="44"/>
      <c r="X48" s="44"/>
      <c r="Y48" s="44"/>
      <c r="Z48" s="43"/>
      <c r="AA48" s="44"/>
      <c r="AB48" s="45"/>
    </row>
    <row r="49" spans="1:28">
      <c r="A49" s="12"/>
      <c r="B49" s="12"/>
      <c r="C49" s="12">
        <v>32</v>
      </c>
      <c r="D49" s="13"/>
      <c r="E49" s="14"/>
      <c r="F49" s="14"/>
      <c r="G49" s="14"/>
      <c r="H49" s="14"/>
      <c r="I49" s="14"/>
      <c r="J49" s="14">
        <f t="shared" si="0"/>
        <v>0</v>
      </c>
      <c r="K49" s="24">
        <f t="shared" si="2"/>
        <v>0</v>
      </c>
      <c r="M49" s="32"/>
      <c r="N49" s="33"/>
      <c r="O49" s="33"/>
      <c r="P49" s="33"/>
      <c r="Q49" s="33"/>
      <c r="R49" s="33"/>
      <c r="S49" s="14">
        <f t="shared" si="1"/>
        <v>0</v>
      </c>
      <c r="T49" s="24">
        <f t="shared" si="3"/>
        <v>0</v>
      </c>
      <c r="U49" s="38"/>
      <c r="V49" s="43"/>
      <c r="W49" s="44"/>
      <c r="X49" s="44"/>
      <c r="Y49" s="44"/>
      <c r="Z49" s="43"/>
      <c r="AA49" s="44"/>
      <c r="AB49" s="45"/>
    </row>
    <row r="50" ht="12.15" spans="1:28">
      <c r="A50" s="12"/>
      <c r="B50" s="15"/>
      <c r="C50" s="15">
        <v>37</v>
      </c>
      <c r="D50" s="16"/>
      <c r="E50" s="17"/>
      <c r="F50" s="17"/>
      <c r="G50" s="17"/>
      <c r="H50" s="17"/>
      <c r="I50" s="17"/>
      <c r="J50" s="17">
        <f t="shared" si="0"/>
        <v>0</v>
      </c>
      <c r="K50" s="27">
        <f t="shared" si="2"/>
        <v>0</v>
      </c>
      <c r="M50" s="34"/>
      <c r="N50" s="35"/>
      <c r="O50" s="35"/>
      <c r="P50" s="35"/>
      <c r="Q50" s="35"/>
      <c r="R50" s="35"/>
      <c r="S50" s="17">
        <f t="shared" si="1"/>
        <v>0</v>
      </c>
      <c r="T50" s="27">
        <f t="shared" si="3"/>
        <v>0</v>
      </c>
      <c r="U50" s="38"/>
      <c r="V50" s="47"/>
      <c r="W50" s="48"/>
      <c r="X50" s="48"/>
      <c r="Y50" s="48"/>
      <c r="Z50" s="47"/>
      <c r="AA50" s="48"/>
      <c r="AB50" s="49"/>
    </row>
    <row r="51" spans="1:28">
      <c r="A51" s="12"/>
      <c r="B51" s="9" t="s">
        <v>35</v>
      </c>
      <c r="C51" s="9">
        <v>22</v>
      </c>
      <c r="D51" s="10"/>
      <c r="E51" s="11"/>
      <c r="F51" s="11"/>
      <c r="G51" s="11"/>
      <c r="H51" s="11"/>
      <c r="I51" s="11"/>
      <c r="J51" s="11">
        <f t="shared" si="0"/>
        <v>0</v>
      </c>
      <c r="K51" s="21">
        <f t="shared" si="2"/>
        <v>0</v>
      </c>
      <c r="M51" s="30"/>
      <c r="N51" s="31"/>
      <c r="O51" s="31"/>
      <c r="P51" s="31"/>
      <c r="Q51" s="31"/>
      <c r="R51" s="31"/>
      <c r="S51" s="11">
        <f t="shared" si="1"/>
        <v>0</v>
      </c>
      <c r="T51" s="21">
        <f t="shared" si="3"/>
        <v>0</v>
      </c>
      <c r="U51" s="38"/>
      <c r="V51" s="39" t="e">
        <f>bdrate($D51:$D54,E51:E54,$M51:$M54,N51:N54)</f>
        <v>#VALUE!</v>
      </c>
      <c r="W51" s="40" t="e">
        <f>bdrate($D51:$D54,F51:F54,$M51:$M54,O51:O54)</f>
        <v>#VALUE!</v>
      </c>
      <c r="X51" s="40" t="e">
        <f>bdrate($D51:$D54,G51:G54,$M51:$M54,P51:P54)</f>
        <v>#VALUE!</v>
      </c>
      <c r="Y51" s="40" t="e">
        <f>bdrate(D51:D54,J51:J54,M51:M54,S51:S54)</f>
        <v>#VALUE!</v>
      </c>
      <c r="Z51" s="54" t="e">
        <f>bdrateOld($D51:$D54,E51:E54,$M51:$M54,N51:N54)</f>
        <v>#VALUE!</v>
      </c>
      <c r="AA51" s="55" t="e">
        <f>bdrateOld($D51:$D54,F51:F54,$M51:$M54,O51:O54)</f>
        <v>#VALUE!</v>
      </c>
      <c r="AB51" s="56" t="e">
        <f>bdrateOld($D51:$D54,G51:G54,$M51:$M54,P51:P54)</f>
        <v>#VALUE!</v>
      </c>
    </row>
    <row r="52" spans="1:28">
      <c r="A52" s="12"/>
      <c r="B52" s="12"/>
      <c r="C52" s="12">
        <v>27</v>
      </c>
      <c r="D52" s="13"/>
      <c r="E52" s="14"/>
      <c r="F52" s="14"/>
      <c r="G52" s="14"/>
      <c r="H52" s="14"/>
      <c r="I52" s="14"/>
      <c r="J52" s="14">
        <f t="shared" si="0"/>
        <v>0</v>
      </c>
      <c r="K52" s="24">
        <f t="shared" si="2"/>
        <v>0</v>
      </c>
      <c r="M52" s="32"/>
      <c r="N52" s="33"/>
      <c r="O52" s="33"/>
      <c r="P52" s="33"/>
      <c r="Q52" s="33"/>
      <c r="R52" s="33"/>
      <c r="S52" s="14">
        <f t="shared" si="1"/>
        <v>0</v>
      </c>
      <c r="T52" s="24">
        <f t="shared" si="3"/>
        <v>0</v>
      </c>
      <c r="U52" s="38"/>
      <c r="V52" s="43"/>
      <c r="W52" s="44"/>
      <c r="X52" s="44"/>
      <c r="Y52" s="44"/>
      <c r="Z52" s="43"/>
      <c r="AA52" s="44"/>
      <c r="AB52" s="45"/>
    </row>
    <row r="53" spans="1:28">
      <c r="A53" s="12"/>
      <c r="B53" s="12"/>
      <c r="C53" s="12">
        <v>32</v>
      </c>
      <c r="D53" s="13"/>
      <c r="E53" s="14"/>
      <c r="F53" s="14"/>
      <c r="G53" s="14"/>
      <c r="H53" s="14"/>
      <c r="I53" s="14"/>
      <c r="J53" s="14">
        <f t="shared" si="0"/>
        <v>0</v>
      </c>
      <c r="K53" s="24">
        <f t="shared" si="2"/>
        <v>0</v>
      </c>
      <c r="M53" s="32"/>
      <c r="N53" s="33"/>
      <c r="O53" s="33"/>
      <c r="P53" s="33"/>
      <c r="Q53" s="33"/>
      <c r="R53" s="33"/>
      <c r="S53" s="14">
        <f t="shared" si="1"/>
        <v>0</v>
      </c>
      <c r="T53" s="24">
        <f t="shared" si="3"/>
        <v>0</v>
      </c>
      <c r="U53" s="38"/>
      <c r="V53" s="43"/>
      <c r="W53" s="44"/>
      <c r="X53" s="44"/>
      <c r="Y53" s="44"/>
      <c r="Z53" s="43"/>
      <c r="AA53" s="44"/>
      <c r="AB53" s="45"/>
    </row>
    <row r="54" ht="12.15" spans="1:28">
      <c r="A54" s="15"/>
      <c r="B54" s="15"/>
      <c r="C54" s="15">
        <v>37</v>
      </c>
      <c r="D54" s="16"/>
      <c r="E54" s="17"/>
      <c r="F54" s="17"/>
      <c r="G54" s="17"/>
      <c r="H54" s="17"/>
      <c r="I54" s="17"/>
      <c r="J54" s="17">
        <f t="shared" si="0"/>
        <v>0</v>
      </c>
      <c r="K54" s="27">
        <f t="shared" si="2"/>
        <v>0</v>
      </c>
      <c r="M54" s="34"/>
      <c r="N54" s="35"/>
      <c r="O54" s="35"/>
      <c r="P54" s="35"/>
      <c r="Q54" s="35"/>
      <c r="R54" s="35"/>
      <c r="S54" s="17">
        <f t="shared" si="1"/>
        <v>0</v>
      </c>
      <c r="T54" s="27">
        <f t="shared" si="3"/>
        <v>0</v>
      </c>
      <c r="U54" s="38"/>
      <c r="V54" s="47"/>
      <c r="W54" s="48"/>
      <c r="X54" s="48"/>
      <c r="Y54" s="48"/>
      <c r="Z54" s="47"/>
      <c r="AA54" s="48"/>
      <c r="AB54" s="49"/>
    </row>
    <row r="55" spans="1:28">
      <c r="A55" s="9" t="s">
        <v>36</v>
      </c>
      <c r="B55" s="9" t="s">
        <v>37</v>
      </c>
      <c r="C55" s="9">
        <v>22</v>
      </c>
      <c r="D55" s="10"/>
      <c r="E55" s="11"/>
      <c r="F55" s="11"/>
      <c r="G55" s="11"/>
      <c r="H55" s="11"/>
      <c r="I55" s="11"/>
      <c r="J55" s="11">
        <f t="shared" si="0"/>
        <v>0</v>
      </c>
      <c r="K55" s="21">
        <f t="shared" si="2"/>
        <v>0</v>
      </c>
      <c r="M55" s="10"/>
      <c r="N55" s="11"/>
      <c r="O55" s="11"/>
      <c r="P55" s="11"/>
      <c r="Q55" s="11"/>
      <c r="R55" s="11"/>
      <c r="S55" s="11">
        <f t="shared" si="1"/>
        <v>0</v>
      </c>
      <c r="T55" s="21">
        <f t="shared" si="3"/>
        <v>0</v>
      </c>
      <c r="U55" s="38"/>
      <c r="V55" s="39" t="e">
        <f>bdrate($D55:$D58,E55:E58,$M55:$M58,N55:N58)</f>
        <v>#VALUE!</v>
      </c>
      <c r="W55" s="40" t="e">
        <f>bdrate($D55:$D58,F55:F58,$M55:$M58,O55:O58)</f>
        <v>#VALUE!</v>
      </c>
      <c r="X55" s="40" t="e">
        <f>bdrate($D55:$D58,G55:G58,$M55:$M58,P55:P58)</f>
        <v>#VALUE!</v>
      </c>
      <c r="Y55" s="40" t="e">
        <f>bdrate(D55:D58,J55:J58,M55:M58,S55:S58)</f>
        <v>#VALUE!</v>
      </c>
      <c r="Z55" s="54" t="e">
        <f>bdrateOld($D55:$D58,E55:E58,$M55:$M58,N55:N58)</f>
        <v>#VALUE!</v>
      </c>
      <c r="AA55" s="55" t="e">
        <f>bdrateOld($D55:$D58,F55:F58,$M55:$M58,O55:O58)</f>
        <v>#VALUE!</v>
      </c>
      <c r="AB55" s="56" t="e">
        <f>bdrateOld($D55:$D58,G55:G58,$M55:$M58,P55:P58)</f>
        <v>#VALUE!</v>
      </c>
    </row>
    <row r="56" spans="1:28">
      <c r="A56" s="12" t="s">
        <v>38</v>
      </c>
      <c r="B56" s="12"/>
      <c r="C56" s="12">
        <v>27</v>
      </c>
      <c r="D56" s="13"/>
      <c r="E56" s="14"/>
      <c r="F56" s="14"/>
      <c r="G56" s="14"/>
      <c r="H56" s="14"/>
      <c r="I56" s="14"/>
      <c r="J56" s="14">
        <f t="shared" si="0"/>
        <v>0</v>
      </c>
      <c r="K56" s="24">
        <f t="shared" si="2"/>
        <v>0</v>
      </c>
      <c r="M56" s="13"/>
      <c r="N56" s="14"/>
      <c r="O56" s="14"/>
      <c r="P56" s="14"/>
      <c r="Q56" s="14"/>
      <c r="R56" s="14"/>
      <c r="S56" s="14">
        <f t="shared" si="1"/>
        <v>0</v>
      </c>
      <c r="T56" s="24">
        <f t="shared" si="3"/>
        <v>0</v>
      </c>
      <c r="U56" s="38"/>
      <c r="V56" s="43"/>
      <c r="W56" s="44"/>
      <c r="X56" s="44"/>
      <c r="Y56" s="44"/>
      <c r="Z56" s="43"/>
      <c r="AA56" s="44"/>
      <c r="AB56" s="45"/>
    </row>
    <row r="57" spans="1:28">
      <c r="A57" s="12"/>
      <c r="B57" s="12"/>
      <c r="C57" s="12">
        <v>32</v>
      </c>
      <c r="D57" s="13"/>
      <c r="E57" s="14"/>
      <c r="F57" s="14"/>
      <c r="G57" s="14"/>
      <c r="H57" s="14"/>
      <c r="I57" s="14"/>
      <c r="J57" s="14">
        <f t="shared" si="0"/>
        <v>0</v>
      </c>
      <c r="K57" s="24">
        <f t="shared" si="2"/>
        <v>0</v>
      </c>
      <c r="M57" s="13"/>
      <c r="N57" s="14"/>
      <c r="O57" s="14"/>
      <c r="P57" s="14"/>
      <c r="Q57" s="14"/>
      <c r="R57" s="14"/>
      <c r="S57" s="14">
        <f t="shared" si="1"/>
        <v>0</v>
      </c>
      <c r="T57" s="24">
        <f t="shared" si="3"/>
        <v>0</v>
      </c>
      <c r="U57" s="38"/>
      <c r="V57" s="43"/>
      <c r="W57" s="44"/>
      <c r="X57" s="44"/>
      <c r="Y57" s="44"/>
      <c r="Z57" s="43"/>
      <c r="AA57" s="44"/>
      <c r="AB57" s="45"/>
    </row>
    <row r="58" ht="12.15" spans="1:28">
      <c r="A58" s="12"/>
      <c r="B58" s="15"/>
      <c r="C58" s="15">
        <v>37</v>
      </c>
      <c r="D58" s="16"/>
      <c r="E58" s="17"/>
      <c r="F58" s="17"/>
      <c r="G58" s="17"/>
      <c r="H58" s="17"/>
      <c r="I58" s="17"/>
      <c r="J58" s="17">
        <f t="shared" si="0"/>
        <v>0</v>
      </c>
      <c r="K58" s="27">
        <f t="shared" si="2"/>
        <v>0</v>
      </c>
      <c r="M58" s="16"/>
      <c r="N58" s="17"/>
      <c r="O58" s="17"/>
      <c r="P58" s="17"/>
      <c r="Q58" s="17"/>
      <c r="R58" s="17"/>
      <c r="S58" s="17">
        <f t="shared" si="1"/>
        <v>0</v>
      </c>
      <c r="T58" s="27">
        <f t="shared" si="3"/>
        <v>0</v>
      </c>
      <c r="U58" s="38"/>
      <c r="V58" s="47"/>
      <c r="W58" s="48"/>
      <c r="X58" s="48"/>
      <c r="Y58" s="48"/>
      <c r="Z58" s="47"/>
      <c r="AA58" s="48"/>
      <c r="AB58" s="49"/>
    </row>
    <row r="59" spans="1:28">
      <c r="A59" s="12"/>
      <c r="B59" s="9" t="s">
        <v>39</v>
      </c>
      <c r="C59" s="9">
        <v>22</v>
      </c>
      <c r="D59" s="10"/>
      <c r="E59" s="11"/>
      <c r="F59" s="11"/>
      <c r="G59" s="11"/>
      <c r="H59" s="11"/>
      <c r="I59" s="11"/>
      <c r="J59" s="11">
        <f t="shared" si="0"/>
        <v>0</v>
      </c>
      <c r="K59" s="21">
        <f t="shared" si="2"/>
        <v>0</v>
      </c>
      <c r="M59" s="10"/>
      <c r="N59" s="11"/>
      <c r="O59" s="11"/>
      <c r="P59" s="11"/>
      <c r="Q59" s="11"/>
      <c r="R59" s="11"/>
      <c r="S59" s="11">
        <f t="shared" si="1"/>
        <v>0</v>
      </c>
      <c r="T59" s="21">
        <f t="shared" si="3"/>
        <v>0</v>
      </c>
      <c r="U59" s="38"/>
      <c r="V59" s="39" t="e">
        <f>bdrate($D59:$D62,E59:E62,$M59:$M62,N59:N62)</f>
        <v>#VALUE!</v>
      </c>
      <c r="W59" s="40" t="e">
        <f>bdrate($D59:$D62,F59:F62,$M59:$M62,O59:O62)</f>
        <v>#VALUE!</v>
      </c>
      <c r="X59" s="40" t="e">
        <f>bdrate($D59:$D62,G59:G62,$M59:$M62,P59:P62)</f>
        <v>#VALUE!</v>
      </c>
      <c r="Y59" s="40" t="e">
        <f>bdrate(D59:D62,J59:J62,M59:M62,S59:S62)</f>
        <v>#VALUE!</v>
      </c>
      <c r="Z59" s="54" t="e">
        <f>bdrateOld($D59:$D62,E59:E62,$M59:$M62,N59:N62)</f>
        <v>#VALUE!</v>
      </c>
      <c r="AA59" s="55" t="e">
        <f>bdrateOld($D59:$D62,F59:F62,$M59:$M62,O59:O62)</f>
        <v>#VALUE!</v>
      </c>
      <c r="AB59" s="56" t="e">
        <f>bdrateOld($D59:$D62,G59:G62,$M59:$M62,P59:P62)</f>
        <v>#VALUE!</v>
      </c>
    </row>
    <row r="60" spans="1:28">
      <c r="A60" s="12"/>
      <c r="B60" s="12"/>
      <c r="C60" s="12">
        <v>27</v>
      </c>
      <c r="D60" s="13"/>
      <c r="E60" s="14"/>
      <c r="F60" s="14"/>
      <c r="G60" s="14"/>
      <c r="H60" s="14"/>
      <c r="I60" s="14"/>
      <c r="J60" s="14">
        <f t="shared" si="0"/>
        <v>0</v>
      </c>
      <c r="K60" s="24">
        <f t="shared" si="2"/>
        <v>0</v>
      </c>
      <c r="M60" s="13"/>
      <c r="N60" s="14"/>
      <c r="O60" s="14"/>
      <c r="P60" s="14"/>
      <c r="Q60" s="14"/>
      <c r="R60" s="14"/>
      <c r="S60" s="14">
        <f t="shared" si="1"/>
        <v>0</v>
      </c>
      <c r="T60" s="24">
        <f t="shared" si="3"/>
        <v>0</v>
      </c>
      <c r="U60" s="38"/>
      <c r="V60" s="43"/>
      <c r="W60" s="44"/>
      <c r="X60" s="44"/>
      <c r="Y60" s="44"/>
      <c r="Z60" s="43"/>
      <c r="AA60" s="44"/>
      <c r="AB60" s="45"/>
    </row>
    <row r="61" spans="1:28">
      <c r="A61" s="12"/>
      <c r="B61" s="12"/>
      <c r="C61" s="12">
        <v>32</v>
      </c>
      <c r="D61" s="13"/>
      <c r="E61" s="14"/>
      <c r="F61" s="14"/>
      <c r="G61" s="14"/>
      <c r="H61" s="14"/>
      <c r="I61" s="14"/>
      <c r="J61" s="14">
        <f t="shared" si="0"/>
        <v>0</v>
      </c>
      <c r="K61" s="24">
        <f t="shared" si="2"/>
        <v>0</v>
      </c>
      <c r="M61" s="13"/>
      <c r="N61" s="14"/>
      <c r="O61" s="14"/>
      <c r="P61" s="14"/>
      <c r="Q61" s="14"/>
      <c r="R61" s="14"/>
      <c r="S61" s="14">
        <f t="shared" si="1"/>
        <v>0</v>
      </c>
      <c r="T61" s="24">
        <f t="shared" si="3"/>
        <v>0</v>
      </c>
      <c r="U61" s="38"/>
      <c r="V61" s="43"/>
      <c r="W61" s="44"/>
      <c r="X61" s="44"/>
      <c r="Y61" s="44"/>
      <c r="Z61" s="43"/>
      <c r="AA61" s="44"/>
      <c r="AB61" s="45"/>
    </row>
    <row r="62" ht="12.15" spans="1:28">
      <c r="A62" s="12"/>
      <c r="B62" s="15"/>
      <c r="C62" s="15">
        <v>37</v>
      </c>
      <c r="D62" s="16"/>
      <c r="E62" s="17"/>
      <c r="F62" s="17"/>
      <c r="G62" s="17"/>
      <c r="H62" s="17"/>
      <c r="I62" s="17"/>
      <c r="J62" s="17">
        <f t="shared" si="0"/>
        <v>0</v>
      </c>
      <c r="K62" s="27">
        <f t="shared" si="2"/>
        <v>0</v>
      </c>
      <c r="M62" s="16"/>
      <c r="N62" s="17"/>
      <c r="O62" s="17"/>
      <c r="P62" s="17"/>
      <c r="Q62" s="17"/>
      <c r="R62" s="17"/>
      <c r="S62" s="17">
        <f t="shared" si="1"/>
        <v>0</v>
      </c>
      <c r="T62" s="27">
        <f t="shared" si="3"/>
        <v>0</v>
      </c>
      <c r="U62" s="38"/>
      <c r="V62" s="47"/>
      <c r="W62" s="48"/>
      <c r="X62" s="48"/>
      <c r="Y62" s="48"/>
      <c r="Z62" s="47"/>
      <c r="AA62" s="48"/>
      <c r="AB62" s="49"/>
    </row>
    <row r="63" spans="1:28">
      <c r="A63" s="12"/>
      <c r="B63" s="9" t="s">
        <v>40</v>
      </c>
      <c r="C63" s="9">
        <v>22</v>
      </c>
      <c r="D63" s="10"/>
      <c r="E63" s="11"/>
      <c r="F63" s="11"/>
      <c r="G63" s="11"/>
      <c r="H63" s="11"/>
      <c r="I63" s="11"/>
      <c r="J63" s="11">
        <f t="shared" si="0"/>
        <v>0</v>
      </c>
      <c r="K63" s="21">
        <f t="shared" si="2"/>
        <v>0</v>
      </c>
      <c r="M63" s="10"/>
      <c r="N63" s="11"/>
      <c r="O63" s="11"/>
      <c r="P63" s="11"/>
      <c r="Q63" s="11"/>
      <c r="R63" s="11"/>
      <c r="S63" s="11">
        <f t="shared" si="1"/>
        <v>0</v>
      </c>
      <c r="T63" s="21">
        <f t="shared" si="3"/>
        <v>0</v>
      </c>
      <c r="U63" s="38"/>
      <c r="V63" s="39" t="e">
        <f>bdrate($D63:$D66,E63:E66,$M63:$M66,N63:N66)</f>
        <v>#VALUE!</v>
      </c>
      <c r="W63" s="40" t="e">
        <f>bdrate($D63:$D66,F63:F66,$M63:$M66,O63:O66)</f>
        <v>#VALUE!</v>
      </c>
      <c r="X63" s="40" t="e">
        <f>bdrate($D63:$D66,G63:G66,$M63:$M66,P63:P66)</f>
        <v>#VALUE!</v>
      </c>
      <c r="Y63" s="40" t="e">
        <f>bdrate(D63:D66,J63:J66,M63:M66,S63:S66)</f>
        <v>#VALUE!</v>
      </c>
      <c r="Z63" s="54" t="e">
        <f>bdrateOld($D63:$D66,E63:E66,$M63:$M66,N63:N66)</f>
        <v>#VALUE!</v>
      </c>
      <c r="AA63" s="55" t="e">
        <f>bdrateOld($D63:$D66,F63:F66,$M63:$M66,O63:O66)</f>
        <v>#VALUE!</v>
      </c>
      <c r="AB63" s="56" t="e">
        <f>bdrateOld($D63:$D66,G63:G66,$M63:$M66,P63:P66)</f>
        <v>#VALUE!</v>
      </c>
    </row>
    <row r="64" spans="1:28">
      <c r="A64" s="12"/>
      <c r="B64" s="12"/>
      <c r="C64" s="12">
        <v>27</v>
      </c>
      <c r="D64" s="13"/>
      <c r="E64" s="14"/>
      <c r="F64" s="14"/>
      <c r="G64" s="14"/>
      <c r="H64" s="14"/>
      <c r="I64" s="14"/>
      <c r="J64" s="14">
        <f t="shared" si="0"/>
        <v>0</v>
      </c>
      <c r="K64" s="24">
        <f t="shared" si="2"/>
        <v>0</v>
      </c>
      <c r="M64" s="13"/>
      <c r="N64" s="14"/>
      <c r="O64" s="14"/>
      <c r="P64" s="14"/>
      <c r="Q64" s="14"/>
      <c r="R64" s="14"/>
      <c r="S64" s="14">
        <f t="shared" si="1"/>
        <v>0</v>
      </c>
      <c r="T64" s="24">
        <f t="shared" si="3"/>
        <v>0</v>
      </c>
      <c r="U64" s="38"/>
      <c r="V64" s="43"/>
      <c r="W64" s="44"/>
      <c r="X64" s="44"/>
      <c r="Y64" s="44"/>
      <c r="Z64" s="43"/>
      <c r="AA64" s="44"/>
      <c r="AB64" s="45"/>
    </row>
    <row r="65" spans="1:28">
      <c r="A65" s="12"/>
      <c r="B65" s="12"/>
      <c r="C65" s="12">
        <v>32</v>
      </c>
      <c r="D65" s="13"/>
      <c r="E65" s="14"/>
      <c r="F65" s="14"/>
      <c r="G65" s="14"/>
      <c r="H65" s="14"/>
      <c r="I65" s="14"/>
      <c r="J65" s="14">
        <f t="shared" si="0"/>
        <v>0</v>
      </c>
      <c r="K65" s="24">
        <f t="shared" si="2"/>
        <v>0</v>
      </c>
      <c r="M65" s="13"/>
      <c r="N65" s="14"/>
      <c r="O65" s="14"/>
      <c r="P65" s="14"/>
      <c r="Q65" s="14"/>
      <c r="R65" s="14"/>
      <c r="S65" s="14">
        <f t="shared" si="1"/>
        <v>0</v>
      </c>
      <c r="T65" s="24">
        <f t="shared" si="3"/>
        <v>0</v>
      </c>
      <c r="U65" s="38"/>
      <c r="V65" s="43"/>
      <c r="W65" s="44"/>
      <c r="X65" s="44"/>
      <c r="Y65" s="44"/>
      <c r="Z65" s="43"/>
      <c r="AA65" s="44"/>
      <c r="AB65" s="45"/>
    </row>
    <row r="66" ht="12.15" spans="1:28">
      <c r="A66" s="12"/>
      <c r="B66" s="15"/>
      <c r="C66" s="15">
        <v>37</v>
      </c>
      <c r="D66" s="16"/>
      <c r="E66" s="17"/>
      <c r="F66" s="17"/>
      <c r="G66" s="17"/>
      <c r="H66" s="17"/>
      <c r="I66" s="17"/>
      <c r="J66" s="17">
        <f t="shared" si="0"/>
        <v>0</v>
      </c>
      <c r="K66" s="27">
        <f t="shared" si="2"/>
        <v>0</v>
      </c>
      <c r="M66" s="16"/>
      <c r="N66" s="17"/>
      <c r="O66" s="17"/>
      <c r="P66" s="17"/>
      <c r="Q66" s="17"/>
      <c r="R66" s="17"/>
      <c r="S66" s="17">
        <f t="shared" si="1"/>
        <v>0</v>
      </c>
      <c r="T66" s="27">
        <f t="shared" si="3"/>
        <v>0</v>
      </c>
      <c r="U66" s="38"/>
      <c r="V66" s="47"/>
      <c r="W66" s="48"/>
      <c r="X66" s="48"/>
      <c r="Y66" s="48"/>
      <c r="Z66" s="47"/>
      <c r="AA66" s="48"/>
      <c r="AB66" s="49"/>
    </row>
    <row r="67" spans="1:28">
      <c r="A67" s="12"/>
      <c r="B67" s="9" t="s">
        <v>35</v>
      </c>
      <c r="C67" s="9">
        <v>22</v>
      </c>
      <c r="D67" s="10"/>
      <c r="E67" s="11"/>
      <c r="F67" s="11"/>
      <c r="G67" s="11"/>
      <c r="H67" s="11"/>
      <c r="I67" s="11"/>
      <c r="J67" s="11">
        <f t="shared" si="0"/>
        <v>0</v>
      </c>
      <c r="K67" s="21">
        <f t="shared" si="2"/>
        <v>0</v>
      </c>
      <c r="M67" s="10"/>
      <c r="N67" s="11"/>
      <c r="O67" s="11"/>
      <c r="P67" s="11"/>
      <c r="Q67" s="11"/>
      <c r="R67" s="11"/>
      <c r="S67" s="11">
        <f t="shared" si="1"/>
        <v>0</v>
      </c>
      <c r="T67" s="21">
        <f t="shared" si="3"/>
        <v>0</v>
      </c>
      <c r="U67" s="38"/>
      <c r="V67" s="39" t="e">
        <f>bdrate($D67:$D70,E67:E70,$M67:$M70,N67:N70)</f>
        <v>#VALUE!</v>
      </c>
      <c r="W67" s="40" t="e">
        <f>bdrate($D67:$D70,F67:F70,$M67:$M70,O67:O70)</f>
        <v>#VALUE!</v>
      </c>
      <c r="X67" s="40" t="e">
        <f>bdrate($D67:$D70,G67:G70,$M67:$M70,P67:P70)</f>
        <v>#VALUE!</v>
      </c>
      <c r="Y67" s="40" t="e">
        <f>bdrate(D67:D70,J67:J70,M67:M70,S67:S70)</f>
        <v>#VALUE!</v>
      </c>
      <c r="Z67" s="54" t="e">
        <f>bdrateOld($D67:$D70,E67:E70,$M67:$M70,N67:N70)</f>
        <v>#VALUE!</v>
      </c>
      <c r="AA67" s="55" t="e">
        <f>bdrateOld($D67:$D70,F67:F70,$M67:$M70,O67:O70)</f>
        <v>#VALUE!</v>
      </c>
      <c r="AB67" s="56" t="e">
        <f>bdrateOld($D67:$D70,G67:G70,$M67:$M70,P67:P70)</f>
        <v>#VALUE!</v>
      </c>
    </row>
    <row r="68" spans="1:28">
      <c r="A68" s="12"/>
      <c r="B68" s="12"/>
      <c r="C68" s="12">
        <v>27</v>
      </c>
      <c r="D68" s="13"/>
      <c r="E68" s="14"/>
      <c r="F68" s="14"/>
      <c r="G68" s="14"/>
      <c r="H68" s="14"/>
      <c r="I68" s="14"/>
      <c r="J68" s="14">
        <f>(6*E68+F68+G68)/8</f>
        <v>0</v>
      </c>
      <c r="K68" s="24">
        <f t="shared" si="2"/>
        <v>0</v>
      </c>
      <c r="M68" s="13"/>
      <c r="N68" s="14"/>
      <c r="O68" s="14"/>
      <c r="P68" s="14"/>
      <c r="Q68" s="14"/>
      <c r="R68" s="14"/>
      <c r="S68" s="14">
        <f>(6*N68+O68+P68)/8</f>
        <v>0</v>
      </c>
      <c r="T68" s="24">
        <f t="shared" si="3"/>
        <v>0</v>
      </c>
      <c r="U68" s="38"/>
      <c r="V68" s="43"/>
      <c r="W68" s="44"/>
      <c r="X68" s="44"/>
      <c r="Y68" s="44"/>
      <c r="Z68" s="43"/>
      <c r="AA68" s="44"/>
      <c r="AB68" s="45"/>
    </row>
    <row r="69" spans="1:28">
      <c r="A69" s="12"/>
      <c r="B69" s="12"/>
      <c r="C69" s="12">
        <v>32</v>
      </c>
      <c r="D69" s="13"/>
      <c r="E69" s="14"/>
      <c r="F69" s="14"/>
      <c r="G69" s="14"/>
      <c r="H69" s="14"/>
      <c r="I69" s="14"/>
      <c r="J69" s="14">
        <f>(6*E69+F69+G69)/8</f>
        <v>0</v>
      </c>
      <c r="K69" s="24">
        <f t="shared" si="2"/>
        <v>0</v>
      </c>
      <c r="M69" s="13"/>
      <c r="N69" s="14"/>
      <c r="O69" s="14"/>
      <c r="P69" s="14"/>
      <c r="Q69" s="14"/>
      <c r="R69" s="14"/>
      <c r="S69" s="14">
        <f>(6*N69+O69+P69)/8</f>
        <v>0</v>
      </c>
      <c r="T69" s="24">
        <f t="shared" si="3"/>
        <v>0</v>
      </c>
      <c r="U69" s="38"/>
      <c r="V69" s="43"/>
      <c r="W69" s="44"/>
      <c r="X69" s="44"/>
      <c r="Y69" s="44"/>
      <c r="Z69" s="43"/>
      <c r="AA69" s="44"/>
      <c r="AB69" s="45"/>
    </row>
    <row r="70" ht="12.15" spans="1:28">
      <c r="A70" s="15"/>
      <c r="B70" s="15"/>
      <c r="C70" s="15">
        <v>37</v>
      </c>
      <c r="D70" s="16"/>
      <c r="E70" s="17"/>
      <c r="F70" s="17"/>
      <c r="G70" s="17"/>
      <c r="H70" s="17"/>
      <c r="I70" s="17"/>
      <c r="J70" s="17">
        <f>(6*E70+F70+G70)/8</f>
        <v>0</v>
      </c>
      <c r="K70" s="27">
        <f t="shared" si="2"/>
        <v>0</v>
      </c>
      <c r="M70" s="16"/>
      <c r="N70" s="17"/>
      <c r="O70" s="17"/>
      <c r="P70" s="17"/>
      <c r="Q70" s="17"/>
      <c r="R70" s="17"/>
      <c r="S70" s="17">
        <f>(6*N70+O70+P70)/8</f>
        <v>0</v>
      </c>
      <c r="T70" s="27">
        <f t="shared" si="3"/>
        <v>0</v>
      </c>
      <c r="U70" s="38"/>
      <c r="V70" s="47"/>
      <c r="W70" s="48"/>
      <c r="X70" s="48"/>
      <c r="Y70" s="48"/>
      <c r="Z70" s="47"/>
      <c r="AA70" s="48"/>
      <c r="AB70" s="49"/>
    </row>
    <row r="71" spans="1:28">
      <c r="A71" s="9" t="s">
        <v>41</v>
      </c>
      <c r="B71" s="9" t="s">
        <v>42</v>
      </c>
      <c r="C71" s="9">
        <v>22</v>
      </c>
      <c r="D71" s="10"/>
      <c r="E71" s="11"/>
      <c r="F71" s="11"/>
      <c r="G71" s="11"/>
      <c r="H71" s="11"/>
      <c r="I71" s="11"/>
      <c r="J71" s="11">
        <f t="shared" ref="J71:J98" si="4">(6*E71+F71+G71)/8</f>
        <v>0</v>
      </c>
      <c r="K71" s="21">
        <f t="shared" si="2"/>
        <v>0</v>
      </c>
      <c r="M71" s="10"/>
      <c r="N71" s="11"/>
      <c r="O71" s="11"/>
      <c r="P71" s="11"/>
      <c r="Q71" s="11"/>
      <c r="R71" s="11"/>
      <c r="S71" s="11">
        <f t="shared" ref="S71:S98" si="5">(6*N71+O71+P71)/8</f>
        <v>0</v>
      </c>
      <c r="T71" s="21">
        <f t="shared" si="3"/>
        <v>0</v>
      </c>
      <c r="U71" s="38"/>
      <c r="V71" s="39" t="e">
        <f>bdrate($D71:$D74,E71:E74,$M71:$M74,N71:N74)</f>
        <v>#VALUE!</v>
      </c>
      <c r="W71" s="40" t="e">
        <f>bdrate($D71:$D74,F71:F74,$M71:$M74,O71:O74)</f>
        <v>#VALUE!</v>
      </c>
      <c r="X71" s="40" t="e">
        <f>bdrate($D71:$D74,G71:G74,$M71:$M74,P71:P74)</f>
        <v>#VALUE!</v>
      </c>
      <c r="Y71" s="40" t="e">
        <f>bdrate(D71:D74,J71:J74,M71:M74,S71:S74)</f>
        <v>#VALUE!</v>
      </c>
      <c r="Z71" s="54" t="e">
        <f>bdrateOld($D71:$D74,E71:E74,$M71:$M74,N71:N74)</f>
        <v>#VALUE!</v>
      </c>
      <c r="AA71" s="55" t="e">
        <f>bdrateOld($D71:$D74,F71:F74,$M71:$M74,O71:O74)</f>
        <v>#VALUE!</v>
      </c>
      <c r="AB71" s="56" t="e">
        <f>bdrateOld($D71:$D74,G71:G74,$M71:$M74,P71:P74)</f>
        <v>#VALUE!</v>
      </c>
    </row>
    <row r="72" spans="1:28">
      <c r="A72" s="12" t="s">
        <v>43</v>
      </c>
      <c r="B72" s="12"/>
      <c r="C72" s="12">
        <v>27</v>
      </c>
      <c r="D72" s="13"/>
      <c r="E72" s="14"/>
      <c r="F72" s="14"/>
      <c r="G72" s="14"/>
      <c r="H72" s="14"/>
      <c r="I72" s="14"/>
      <c r="J72" s="14">
        <f t="shared" si="4"/>
        <v>0</v>
      </c>
      <c r="K72" s="24">
        <f t="shared" ref="K72:K98" si="6">H72/3600</f>
        <v>0</v>
      </c>
      <c r="M72" s="13"/>
      <c r="N72" s="14"/>
      <c r="O72" s="14"/>
      <c r="P72" s="14"/>
      <c r="Q72" s="14"/>
      <c r="R72" s="14"/>
      <c r="S72" s="14">
        <f t="shared" si="5"/>
        <v>0</v>
      </c>
      <c r="T72" s="24">
        <f t="shared" ref="T72:T98" si="7">Q72/3600</f>
        <v>0</v>
      </c>
      <c r="U72" s="38"/>
      <c r="V72" s="43"/>
      <c r="W72" s="44"/>
      <c r="X72" s="44"/>
      <c r="Y72" s="44"/>
      <c r="Z72" s="43"/>
      <c r="AA72" s="44"/>
      <c r="AB72" s="45"/>
    </row>
    <row r="73" spans="1:28">
      <c r="A73" s="12"/>
      <c r="B73" s="12"/>
      <c r="C73" s="12">
        <v>32</v>
      </c>
      <c r="D73" s="13"/>
      <c r="E73" s="14"/>
      <c r="F73" s="14"/>
      <c r="G73" s="14"/>
      <c r="H73" s="14"/>
      <c r="I73" s="14"/>
      <c r="J73" s="14">
        <f t="shared" si="4"/>
        <v>0</v>
      </c>
      <c r="K73" s="24">
        <f t="shared" si="6"/>
        <v>0</v>
      </c>
      <c r="M73" s="13"/>
      <c r="N73" s="14"/>
      <c r="O73" s="14"/>
      <c r="P73" s="14"/>
      <c r="Q73" s="14"/>
      <c r="R73" s="14"/>
      <c r="S73" s="14">
        <f t="shared" si="5"/>
        <v>0</v>
      </c>
      <c r="T73" s="24">
        <f t="shared" si="7"/>
        <v>0</v>
      </c>
      <c r="U73" s="38"/>
      <c r="V73" s="43"/>
      <c r="W73" s="44"/>
      <c r="X73" s="44"/>
      <c r="Y73" s="44"/>
      <c r="Z73" s="43"/>
      <c r="AA73" s="44"/>
      <c r="AB73" s="45"/>
    </row>
    <row r="74" ht="12.15" spans="1:28">
      <c r="A74" s="12"/>
      <c r="B74" s="15"/>
      <c r="C74" s="15">
        <v>37</v>
      </c>
      <c r="D74" s="16"/>
      <c r="E74" s="17"/>
      <c r="F74" s="17"/>
      <c r="G74" s="17"/>
      <c r="H74" s="17"/>
      <c r="I74" s="17"/>
      <c r="J74" s="17">
        <f t="shared" si="4"/>
        <v>0</v>
      </c>
      <c r="K74" s="27">
        <f t="shared" si="6"/>
        <v>0</v>
      </c>
      <c r="M74" s="16"/>
      <c r="N74" s="17"/>
      <c r="O74" s="17"/>
      <c r="P74" s="17"/>
      <c r="Q74" s="17"/>
      <c r="R74" s="17"/>
      <c r="S74" s="17">
        <f t="shared" si="5"/>
        <v>0</v>
      </c>
      <c r="T74" s="27">
        <f t="shared" si="7"/>
        <v>0</v>
      </c>
      <c r="U74" s="38"/>
      <c r="V74" s="47"/>
      <c r="W74" s="48"/>
      <c r="X74" s="48"/>
      <c r="Y74" s="48"/>
      <c r="Z74" s="47"/>
      <c r="AA74" s="48"/>
      <c r="AB74" s="49"/>
    </row>
    <row r="75" spans="1:28">
      <c r="A75" s="12"/>
      <c r="B75" s="9" t="s">
        <v>44</v>
      </c>
      <c r="C75" s="9">
        <v>22</v>
      </c>
      <c r="D75" s="10"/>
      <c r="E75" s="11"/>
      <c r="F75" s="11"/>
      <c r="G75" s="11"/>
      <c r="H75" s="11"/>
      <c r="I75" s="11"/>
      <c r="J75" s="11">
        <f t="shared" si="4"/>
        <v>0</v>
      </c>
      <c r="K75" s="21">
        <f t="shared" si="6"/>
        <v>0</v>
      </c>
      <c r="M75" s="10"/>
      <c r="N75" s="11"/>
      <c r="O75" s="11"/>
      <c r="P75" s="11"/>
      <c r="Q75" s="11"/>
      <c r="R75" s="11"/>
      <c r="S75" s="11">
        <f t="shared" si="5"/>
        <v>0</v>
      </c>
      <c r="T75" s="21">
        <f t="shared" si="7"/>
        <v>0</v>
      </c>
      <c r="U75" s="38"/>
      <c r="V75" s="39" t="e">
        <f>bdrate($D75:$D78,E75:E78,$M75:$M78,N75:N78)</f>
        <v>#VALUE!</v>
      </c>
      <c r="W75" s="40" t="e">
        <f>bdrate($D75:$D78,F75:F78,$M75:$M78,O75:O78)</f>
        <v>#VALUE!</v>
      </c>
      <c r="X75" s="40" t="e">
        <f>bdrate($D75:$D78,G75:G78,$M75:$M78,P75:P78)</f>
        <v>#VALUE!</v>
      </c>
      <c r="Y75" s="40" t="e">
        <f>bdrate(D75:D78,J75:J78,M75:M78,S75:S78)</f>
        <v>#VALUE!</v>
      </c>
      <c r="Z75" s="54" t="e">
        <f>bdrateOld($D75:$D78,E75:E78,$M75:$M78,N75:N78)</f>
        <v>#VALUE!</v>
      </c>
      <c r="AA75" s="55" t="e">
        <f>bdrateOld($D75:$D78,F75:F78,$M75:$M78,O75:O78)</f>
        <v>#VALUE!</v>
      </c>
      <c r="AB75" s="56" t="e">
        <f>bdrateOld($D75:$D78,G75:G78,$M75:$M78,P75:P78)</f>
        <v>#VALUE!</v>
      </c>
    </row>
    <row r="76" spans="1:28">
      <c r="A76" s="12"/>
      <c r="B76" s="12"/>
      <c r="C76" s="12">
        <v>27</v>
      </c>
      <c r="D76" s="13"/>
      <c r="E76" s="14"/>
      <c r="F76" s="14"/>
      <c r="G76" s="14"/>
      <c r="H76" s="14"/>
      <c r="I76" s="14"/>
      <c r="J76" s="14">
        <f t="shared" si="4"/>
        <v>0</v>
      </c>
      <c r="K76" s="24">
        <f t="shared" si="6"/>
        <v>0</v>
      </c>
      <c r="M76" s="13"/>
      <c r="N76" s="14"/>
      <c r="O76" s="14"/>
      <c r="P76" s="14"/>
      <c r="Q76" s="14"/>
      <c r="R76" s="14"/>
      <c r="S76" s="14">
        <f t="shared" si="5"/>
        <v>0</v>
      </c>
      <c r="T76" s="24">
        <f t="shared" si="7"/>
        <v>0</v>
      </c>
      <c r="U76" s="38"/>
      <c r="V76" s="43"/>
      <c r="W76" s="44"/>
      <c r="X76" s="44"/>
      <c r="Y76" s="44"/>
      <c r="Z76" s="43"/>
      <c r="AA76" s="44"/>
      <c r="AB76" s="45"/>
    </row>
    <row r="77" spans="1:28">
      <c r="A77" s="12"/>
      <c r="B77" s="12"/>
      <c r="C77" s="12">
        <v>32</v>
      </c>
      <c r="D77" s="13"/>
      <c r="E77" s="14"/>
      <c r="F77" s="14"/>
      <c r="G77" s="14"/>
      <c r="H77" s="14"/>
      <c r="I77" s="14"/>
      <c r="J77" s="14">
        <f t="shared" si="4"/>
        <v>0</v>
      </c>
      <c r="K77" s="24">
        <f t="shared" si="6"/>
        <v>0</v>
      </c>
      <c r="M77" s="13"/>
      <c r="N77" s="14"/>
      <c r="O77" s="14"/>
      <c r="P77" s="14"/>
      <c r="Q77" s="14"/>
      <c r="R77" s="14"/>
      <c r="S77" s="14">
        <f t="shared" si="5"/>
        <v>0</v>
      </c>
      <c r="T77" s="24">
        <f t="shared" si="7"/>
        <v>0</v>
      </c>
      <c r="U77" s="38"/>
      <c r="V77" s="43"/>
      <c r="W77" s="44"/>
      <c r="X77" s="44"/>
      <c r="Y77" s="44"/>
      <c r="Z77" s="43"/>
      <c r="AA77" s="44"/>
      <c r="AB77" s="45"/>
    </row>
    <row r="78" ht="12.15" spans="1:28">
      <c r="A78" s="12"/>
      <c r="B78" s="15"/>
      <c r="C78" s="15">
        <v>37</v>
      </c>
      <c r="D78" s="16"/>
      <c r="E78" s="17"/>
      <c r="F78" s="17"/>
      <c r="G78" s="17"/>
      <c r="H78" s="17"/>
      <c r="I78" s="17"/>
      <c r="J78" s="17">
        <f t="shared" si="4"/>
        <v>0</v>
      </c>
      <c r="K78" s="27">
        <f t="shared" si="6"/>
        <v>0</v>
      </c>
      <c r="M78" s="16"/>
      <c r="N78" s="17"/>
      <c r="O78" s="17"/>
      <c r="P78" s="17"/>
      <c r="Q78" s="17"/>
      <c r="R78" s="17"/>
      <c r="S78" s="17">
        <f t="shared" si="5"/>
        <v>0</v>
      </c>
      <c r="T78" s="27">
        <f t="shared" si="7"/>
        <v>0</v>
      </c>
      <c r="U78" s="38"/>
      <c r="V78" s="47"/>
      <c r="W78" s="48"/>
      <c r="X78" s="48"/>
      <c r="Y78" s="48"/>
      <c r="Z78" s="47"/>
      <c r="AA78" s="48"/>
      <c r="AB78" s="49"/>
    </row>
    <row r="79" spans="1:28">
      <c r="A79" s="12"/>
      <c r="B79" s="9" t="s">
        <v>45</v>
      </c>
      <c r="C79" s="9">
        <v>22</v>
      </c>
      <c r="D79" s="10"/>
      <c r="E79" s="11"/>
      <c r="F79" s="11"/>
      <c r="G79" s="11"/>
      <c r="H79" s="11"/>
      <c r="I79" s="11"/>
      <c r="J79" s="11">
        <f t="shared" si="4"/>
        <v>0</v>
      </c>
      <c r="K79" s="21">
        <f t="shared" si="6"/>
        <v>0</v>
      </c>
      <c r="M79" s="10"/>
      <c r="N79" s="11"/>
      <c r="O79" s="11"/>
      <c r="P79" s="11"/>
      <c r="Q79" s="11"/>
      <c r="R79" s="11"/>
      <c r="S79" s="11">
        <f t="shared" si="5"/>
        <v>0</v>
      </c>
      <c r="T79" s="21">
        <f t="shared" si="7"/>
        <v>0</v>
      </c>
      <c r="U79" s="38"/>
      <c r="V79" s="39" t="e">
        <f>bdrate($D79:$D82,E79:E82,$M79:$M82,N79:N82)</f>
        <v>#VALUE!</v>
      </c>
      <c r="W79" s="40" t="e">
        <f>bdrate($D79:$D82,F79:F82,$M79:$M82,O79:O82)</f>
        <v>#VALUE!</v>
      </c>
      <c r="X79" s="40" t="e">
        <f>bdrate($D79:$D82,G79:G82,$M79:$M82,P79:P82)</f>
        <v>#VALUE!</v>
      </c>
      <c r="Y79" s="40" t="e">
        <f>bdrate(D79:D82,J79:J82,M79:M82,S79:S82)</f>
        <v>#VALUE!</v>
      </c>
      <c r="Z79" s="54" t="e">
        <f>bdrateOld($D79:$D82,E79:E82,$M79:$M82,N79:N82)</f>
        <v>#VALUE!</v>
      </c>
      <c r="AA79" s="55" t="e">
        <f>bdrateOld($D79:$D82,F79:F82,$M79:$M82,O79:O82)</f>
        <v>#VALUE!</v>
      </c>
      <c r="AB79" s="56" t="e">
        <f>bdrateOld($D79:$D82,G79:G82,$M79:$M82,P79:P82)</f>
        <v>#VALUE!</v>
      </c>
    </row>
    <row r="80" spans="1:28">
      <c r="A80" s="12"/>
      <c r="B80" s="12"/>
      <c r="C80" s="12">
        <v>27</v>
      </c>
      <c r="D80" s="13"/>
      <c r="E80" s="14"/>
      <c r="F80" s="14"/>
      <c r="G80" s="14"/>
      <c r="H80" s="14"/>
      <c r="I80" s="14"/>
      <c r="J80" s="14">
        <f t="shared" si="4"/>
        <v>0</v>
      </c>
      <c r="K80" s="24">
        <f t="shared" si="6"/>
        <v>0</v>
      </c>
      <c r="M80" s="13"/>
      <c r="N80" s="14"/>
      <c r="O80" s="14"/>
      <c r="P80" s="14"/>
      <c r="Q80" s="14"/>
      <c r="R80" s="14"/>
      <c r="S80" s="14">
        <f t="shared" si="5"/>
        <v>0</v>
      </c>
      <c r="T80" s="24">
        <f t="shared" si="7"/>
        <v>0</v>
      </c>
      <c r="U80" s="38"/>
      <c r="V80" s="43"/>
      <c r="W80" s="44"/>
      <c r="X80" s="44"/>
      <c r="Y80" s="44"/>
      <c r="Z80" s="43"/>
      <c r="AA80" s="44"/>
      <c r="AB80" s="45"/>
    </row>
    <row r="81" spans="1:28">
      <c r="A81" s="12"/>
      <c r="B81" s="12"/>
      <c r="C81" s="12">
        <v>32</v>
      </c>
      <c r="D81" s="13"/>
      <c r="E81" s="14"/>
      <c r="F81" s="14"/>
      <c r="G81" s="14"/>
      <c r="H81" s="14"/>
      <c r="I81" s="14"/>
      <c r="J81" s="14">
        <f t="shared" si="4"/>
        <v>0</v>
      </c>
      <c r="K81" s="24">
        <f t="shared" si="6"/>
        <v>0</v>
      </c>
      <c r="M81" s="13"/>
      <c r="N81" s="14"/>
      <c r="O81" s="14"/>
      <c r="P81" s="14"/>
      <c r="Q81" s="14"/>
      <c r="R81" s="14"/>
      <c r="S81" s="14">
        <f t="shared" si="5"/>
        <v>0</v>
      </c>
      <c r="T81" s="24">
        <f t="shared" si="7"/>
        <v>0</v>
      </c>
      <c r="U81" s="38"/>
      <c r="V81" s="43"/>
      <c r="W81" s="44"/>
      <c r="X81" s="44"/>
      <c r="Y81" s="44"/>
      <c r="Z81" s="43"/>
      <c r="AA81" s="44"/>
      <c r="AB81" s="45"/>
    </row>
    <row r="82" ht="12.15" spans="1:28">
      <c r="A82" s="15"/>
      <c r="B82" s="15"/>
      <c r="C82" s="15">
        <v>37</v>
      </c>
      <c r="D82" s="16"/>
      <c r="E82" s="17"/>
      <c r="F82" s="17"/>
      <c r="G82" s="17"/>
      <c r="H82" s="17"/>
      <c r="I82" s="17"/>
      <c r="J82" s="17">
        <f t="shared" si="4"/>
        <v>0</v>
      </c>
      <c r="K82" s="27">
        <f t="shared" si="6"/>
        <v>0</v>
      </c>
      <c r="M82" s="16"/>
      <c r="N82" s="17"/>
      <c r="O82" s="17"/>
      <c r="P82" s="17"/>
      <c r="Q82" s="17"/>
      <c r="R82" s="17"/>
      <c r="S82" s="17">
        <f t="shared" si="5"/>
        <v>0</v>
      </c>
      <c r="T82" s="27">
        <f t="shared" si="7"/>
        <v>0</v>
      </c>
      <c r="U82" s="38"/>
      <c r="V82" s="47"/>
      <c r="W82" s="48"/>
      <c r="X82" s="48"/>
      <c r="Y82" s="48"/>
      <c r="Z82" s="47"/>
      <c r="AA82" s="48"/>
      <c r="AB82" s="49"/>
    </row>
    <row r="83" s="1" customFormat="1" spans="1:28">
      <c r="A83" s="9" t="s">
        <v>46</v>
      </c>
      <c r="B83" s="9" t="s">
        <v>47</v>
      </c>
      <c r="C83" s="9">
        <v>22</v>
      </c>
      <c r="D83" s="10"/>
      <c r="E83" s="11"/>
      <c r="F83" s="11"/>
      <c r="G83" s="11"/>
      <c r="H83" s="11"/>
      <c r="I83" s="11"/>
      <c r="J83" s="11">
        <f t="shared" si="4"/>
        <v>0</v>
      </c>
      <c r="K83" s="21">
        <f t="shared" si="6"/>
        <v>0</v>
      </c>
      <c r="M83" s="10"/>
      <c r="N83" s="11"/>
      <c r="O83" s="11"/>
      <c r="P83" s="11"/>
      <c r="Q83" s="11"/>
      <c r="R83" s="11"/>
      <c r="S83" s="11">
        <f t="shared" si="5"/>
        <v>0</v>
      </c>
      <c r="T83" s="21">
        <f t="shared" si="7"/>
        <v>0</v>
      </c>
      <c r="U83" s="38"/>
      <c r="V83" s="39" t="e">
        <f>bdrate($D83:$D86,E83:E86,$M83:$M86,N83:N86)</f>
        <v>#VALUE!</v>
      </c>
      <c r="W83" s="40" t="e">
        <f>bdrate($D83:$D86,F83:F86,$M83:$M86,O83:O86)</f>
        <v>#VALUE!</v>
      </c>
      <c r="X83" s="40" t="e">
        <f>bdrate($D83:$D86,G83:G86,$M83:$M86,P83:P86)</f>
        <v>#VALUE!</v>
      </c>
      <c r="Y83" s="40" t="e">
        <f>bdrate(D83:D86,J83:J86,M83:M86,S83:S86)</f>
        <v>#VALUE!</v>
      </c>
      <c r="Z83" s="54" t="e">
        <f>bdrateOld($D83:$D86,E83:E86,$M83:$M86,N83:N86)</f>
        <v>#VALUE!</v>
      </c>
      <c r="AA83" s="55" t="e">
        <f>bdrateOld($D83:$D86,F83:F86,$M83:$M86,O83:O86)</f>
        <v>#VALUE!</v>
      </c>
      <c r="AB83" s="56" t="e">
        <f>bdrateOld($D83:$D86,G83:G86,$M83:$M86,P83:P86)</f>
        <v>#VALUE!</v>
      </c>
    </row>
    <row r="84" s="1" customFormat="1" spans="1:28">
      <c r="A84" s="12" t="s">
        <v>48</v>
      </c>
      <c r="B84" s="12"/>
      <c r="C84" s="12">
        <v>27</v>
      </c>
      <c r="D84" s="13"/>
      <c r="E84" s="14"/>
      <c r="F84" s="14"/>
      <c r="G84" s="14"/>
      <c r="H84" s="14"/>
      <c r="I84" s="14"/>
      <c r="J84" s="14">
        <f t="shared" si="4"/>
        <v>0</v>
      </c>
      <c r="K84" s="24">
        <f t="shared" si="6"/>
        <v>0</v>
      </c>
      <c r="M84" s="13"/>
      <c r="N84" s="14"/>
      <c r="O84" s="14"/>
      <c r="P84" s="14"/>
      <c r="Q84" s="14"/>
      <c r="R84" s="14"/>
      <c r="S84" s="14">
        <f t="shared" si="5"/>
        <v>0</v>
      </c>
      <c r="T84" s="24">
        <f t="shared" si="7"/>
        <v>0</v>
      </c>
      <c r="U84" s="38"/>
      <c r="V84" s="43"/>
      <c r="W84" s="44"/>
      <c r="X84" s="44"/>
      <c r="Y84" s="44"/>
      <c r="Z84" s="43"/>
      <c r="AA84" s="44"/>
      <c r="AB84" s="45"/>
    </row>
    <row r="85" s="1" customFormat="1" spans="1:28">
      <c r="A85" s="12"/>
      <c r="B85" s="12"/>
      <c r="C85" s="12">
        <v>32</v>
      </c>
      <c r="D85" s="13"/>
      <c r="E85" s="14"/>
      <c r="F85" s="14"/>
      <c r="G85" s="14"/>
      <c r="H85" s="14"/>
      <c r="I85" s="14"/>
      <c r="J85" s="14">
        <f t="shared" si="4"/>
        <v>0</v>
      </c>
      <c r="K85" s="24">
        <f t="shared" si="6"/>
        <v>0</v>
      </c>
      <c r="M85" s="13"/>
      <c r="N85" s="14"/>
      <c r="O85" s="14"/>
      <c r="P85" s="14"/>
      <c r="Q85" s="14"/>
      <c r="R85" s="14"/>
      <c r="S85" s="14">
        <f t="shared" si="5"/>
        <v>0</v>
      </c>
      <c r="T85" s="24">
        <f t="shared" si="7"/>
        <v>0</v>
      </c>
      <c r="U85" s="38"/>
      <c r="V85" s="43"/>
      <c r="W85" s="44"/>
      <c r="X85" s="44"/>
      <c r="Y85" s="44"/>
      <c r="Z85" s="43"/>
      <c r="AA85" s="44"/>
      <c r="AB85" s="45"/>
    </row>
    <row r="86" s="1" customFormat="1" ht="12.15" spans="1:28">
      <c r="A86" s="12"/>
      <c r="B86" s="15"/>
      <c r="C86" s="15">
        <v>37</v>
      </c>
      <c r="D86" s="16"/>
      <c r="E86" s="17"/>
      <c r="F86" s="17"/>
      <c r="G86" s="17"/>
      <c r="H86" s="17"/>
      <c r="I86" s="17"/>
      <c r="J86" s="17">
        <f t="shared" si="4"/>
        <v>0</v>
      </c>
      <c r="K86" s="27">
        <f t="shared" si="6"/>
        <v>0</v>
      </c>
      <c r="M86" s="16"/>
      <c r="N86" s="17"/>
      <c r="O86" s="17"/>
      <c r="P86" s="17"/>
      <c r="Q86" s="17"/>
      <c r="R86" s="17"/>
      <c r="S86" s="17">
        <f t="shared" si="5"/>
        <v>0</v>
      </c>
      <c r="T86" s="27">
        <f t="shared" si="7"/>
        <v>0</v>
      </c>
      <c r="U86" s="38"/>
      <c r="V86" s="47"/>
      <c r="W86" s="48"/>
      <c r="X86" s="48"/>
      <c r="Y86" s="48"/>
      <c r="Z86" s="47"/>
      <c r="AA86" s="48"/>
      <c r="AB86" s="49"/>
    </row>
    <row r="87" s="1" customFormat="1" spans="1:28">
      <c r="A87" s="12"/>
      <c r="B87" s="9" t="s">
        <v>49</v>
      </c>
      <c r="C87" s="9">
        <v>22</v>
      </c>
      <c r="D87" s="10"/>
      <c r="E87" s="11"/>
      <c r="F87" s="11"/>
      <c r="G87" s="11"/>
      <c r="H87" s="11"/>
      <c r="I87" s="11"/>
      <c r="J87" s="11">
        <f t="shared" si="4"/>
        <v>0</v>
      </c>
      <c r="K87" s="21">
        <f t="shared" si="6"/>
        <v>0</v>
      </c>
      <c r="M87" s="10"/>
      <c r="N87" s="11"/>
      <c r="O87" s="11"/>
      <c r="P87" s="11"/>
      <c r="Q87" s="11"/>
      <c r="R87" s="11"/>
      <c r="S87" s="11">
        <f t="shared" si="5"/>
        <v>0</v>
      </c>
      <c r="T87" s="21">
        <f t="shared" si="7"/>
        <v>0</v>
      </c>
      <c r="U87" s="38"/>
      <c r="V87" s="39" t="e">
        <f>bdrate($D87:$D90,E87:E90,$M87:$M90,N87:N90)</f>
        <v>#VALUE!</v>
      </c>
      <c r="W87" s="40" t="e">
        <f>bdrate($D87:$D90,F87:F90,$M87:$M90,O87:O90)</f>
        <v>#VALUE!</v>
      </c>
      <c r="X87" s="40" t="e">
        <f>bdrate($D87:$D90,G87:G90,$M87:$M90,P87:P90)</f>
        <v>#VALUE!</v>
      </c>
      <c r="Y87" s="40" t="e">
        <f>bdrate(D87:D90,J87:J90,M87:M90,S87:S90)</f>
        <v>#VALUE!</v>
      </c>
      <c r="Z87" s="54" t="e">
        <f>bdrateOld($D87:$D90,E87:E90,$M87:$M90,N87:N90)</f>
        <v>#VALUE!</v>
      </c>
      <c r="AA87" s="55" t="e">
        <f>bdrateOld($D87:$D90,F87:F90,$M87:$M90,O87:O90)</f>
        <v>#VALUE!</v>
      </c>
      <c r="AB87" s="56" t="e">
        <f>bdrateOld($D87:$D90,G87:G90,$M87:$M90,P87:P90)</f>
        <v>#VALUE!</v>
      </c>
    </row>
    <row r="88" s="1" customFormat="1" spans="1:28">
      <c r="A88" s="12"/>
      <c r="B88" s="12"/>
      <c r="C88" s="12">
        <v>27</v>
      </c>
      <c r="D88" s="13"/>
      <c r="E88" s="14"/>
      <c r="F88" s="14"/>
      <c r="G88" s="14"/>
      <c r="H88" s="14"/>
      <c r="I88" s="14"/>
      <c r="J88" s="14">
        <f t="shared" si="4"/>
        <v>0</v>
      </c>
      <c r="K88" s="24">
        <f t="shared" si="6"/>
        <v>0</v>
      </c>
      <c r="M88" s="13"/>
      <c r="N88" s="14"/>
      <c r="O88" s="14"/>
      <c r="P88" s="14"/>
      <c r="Q88" s="14"/>
      <c r="R88" s="14"/>
      <c r="S88" s="14">
        <f t="shared" si="5"/>
        <v>0</v>
      </c>
      <c r="T88" s="24">
        <f t="shared" si="7"/>
        <v>0</v>
      </c>
      <c r="U88" s="38"/>
      <c r="V88" s="43"/>
      <c r="W88" s="44"/>
      <c r="X88" s="44"/>
      <c r="Y88" s="44"/>
      <c r="Z88" s="43"/>
      <c r="AA88" s="44"/>
      <c r="AB88" s="45"/>
    </row>
    <row r="89" s="1" customFormat="1" spans="1:28">
      <c r="A89" s="12"/>
      <c r="B89" s="12"/>
      <c r="C89" s="12">
        <v>32</v>
      </c>
      <c r="D89" s="13"/>
      <c r="E89" s="14"/>
      <c r="F89" s="14"/>
      <c r="G89" s="14"/>
      <c r="H89" s="14"/>
      <c r="I89" s="14"/>
      <c r="J89" s="14">
        <f t="shared" si="4"/>
        <v>0</v>
      </c>
      <c r="K89" s="24">
        <f t="shared" si="6"/>
        <v>0</v>
      </c>
      <c r="M89" s="13"/>
      <c r="N89" s="14"/>
      <c r="O89" s="14"/>
      <c r="P89" s="14"/>
      <c r="Q89" s="14"/>
      <c r="R89" s="14"/>
      <c r="S89" s="14">
        <f t="shared" si="5"/>
        <v>0</v>
      </c>
      <c r="T89" s="24">
        <f t="shared" si="7"/>
        <v>0</v>
      </c>
      <c r="U89" s="38"/>
      <c r="V89" s="43"/>
      <c r="W89" s="44"/>
      <c r="X89" s="44"/>
      <c r="Y89" s="44"/>
      <c r="Z89" s="43"/>
      <c r="AA89" s="44"/>
      <c r="AB89" s="45"/>
    </row>
    <row r="90" s="1" customFormat="1" ht="12.15" spans="1:28">
      <c r="A90" s="12"/>
      <c r="B90" s="15"/>
      <c r="C90" s="15">
        <v>37</v>
      </c>
      <c r="D90" s="16"/>
      <c r="E90" s="17"/>
      <c r="F90" s="17"/>
      <c r="G90" s="17"/>
      <c r="H90" s="17"/>
      <c r="I90" s="17"/>
      <c r="J90" s="17">
        <f t="shared" si="4"/>
        <v>0</v>
      </c>
      <c r="K90" s="27">
        <f t="shared" si="6"/>
        <v>0</v>
      </c>
      <c r="M90" s="16"/>
      <c r="N90" s="17"/>
      <c r="O90" s="17"/>
      <c r="P90" s="17"/>
      <c r="Q90" s="17"/>
      <c r="R90" s="17"/>
      <c r="S90" s="17">
        <f t="shared" si="5"/>
        <v>0</v>
      </c>
      <c r="T90" s="27">
        <f t="shared" si="7"/>
        <v>0</v>
      </c>
      <c r="U90" s="38"/>
      <c r="V90" s="47"/>
      <c r="W90" s="48"/>
      <c r="X90" s="48"/>
      <c r="Y90" s="48"/>
      <c r="Z90" s="47"/>
      <c r="AA90" s="48"/>
      <c r="AB90" s="49"/>
    </row>
    <row r="91" s="1" customFormat="1" spans="1:28">
      <c r="A91" s="12"/>
      <c r="B91" s="9" t="s">
        <v>50</v>
      </c>
      <c r="C91" s="9">
        <v>22</v>
      </c>
      <c r="D91" s="10"/>
      <c r="E91" s="11"/>
      <c r="F91" s="11"/>
      <c r="G91" s="11"/>
      <c r="H91" s="11"/>
      <c r="I91" s="11"/>
      <c r="J91" s="11">
        <f t="shared" si="4"/>
        <v>0</v>
      </c>
      <c r="K91" s="21">
        <f t="shared" si="6"/>
        <v>0</v>
      </c>
      <c r="M91" s="10"/>
      <c r="N91" s="11"/>
      <c r="O91" s="11"/>
      <c r="P91" s="11"/>
      <c r="Q91" s="11"/>
      <c r="R91" s="11"/>
      <c r="S91" s="11">
        <f t="shared" si="5"/>
        <v>0</v>
      </c>
      <c r="T91" s="21">
        <f t="shared" si="7"/>
        <v>0</v>
      </c>
      <c r="U91" s="38"/>
      <c r="V91" s="39" t="e">
        <f>bdrate($D91:$D94,E91:E94,$M91:$M94,N91:N94)</f>
        <v>#VALUE!</v>
      </c>
      <c r="W91" s="40" t="e">
        <f>bdrate($D91:$D94,F91:F94,$M91:$M94,O91:O94)</f>
        <v>#VALUE!</v>
      </c>
      <c r="X91" s="40" t="e">
        <f>bdrate($D91:$D94,G91:G94,$M91:$M94,P91:P94)</f>
        <v>#VALUE!</v>
      </c>
      <c r="Y91" s="40" t="e">
        <f>bdrate(D91:D94,J91:J94,M91:M94,S91:S94)</f>
        <v>#VALUE!</v>
      </c>
      <c r="Z91" s="54" t="e">
        <f>bdrateOld($D91:$D94,E91:E94,$M91:$M94,N91:N94)</f>
        <v>#VALUE!</v>
      </c>
      <c r="AA91" s="55" t="e">
        <f>bdrateOld($D91:$D94,F91:F94,$M91:$M94,O91:O94)</f>
        <v>#VALUE!</v>
      </c>
      <c r="AB91" s="56" t="e">
        <f>bdrateOld($D91:$D94,G91:G94,$M91:$M94,P91:P94)</f>
        <v>#VALUE!</v>
      </c>
    </row>
    <row r="92" s="1" customFormat="1" spans="1:28">
      <c r="A92" s="12"/>
      <c r="B92" s="12"/>
      <c r="C92" s="12">
        <v>27</v>
      </c>
      <c r="D92" s="13"/>
      <c r="E92" s="14"/>
      <c r="F92" s="14"/>
      <c r="G92" s="14"/>
      <c r="H92" s="14"/>
      <c r="I92" s="14"/>
      <c r="J92" s="14">
        <f t="shared" si="4"/>
        <v>0</v>
      </c>
      <c r="K92" s="24">
        <f t="shared" si="6"/>
        <v>0</v>
      </c>
      <c r="M92" s="13"/>
      <c r="N92" s="14"/>
      <c r="O92" s="14"/>
      <c r="P92" s="14"/>
      <c r="Q92" s="14"/>
      <c r="R92" s="14"/>
      <c r="S92" s="14">
        <f t="shared" si="5"/>
        <v>0</v>
      </c>
      <c r="T92" s="24">
        <f t="shared" si="7"/>
        <v>0</v>
      </c>
      <c r="U92" s="38"/>
      <c r="V92" s="43"/>
      <c r="W92" s="44"/>
      <c r="X92" s="44"/>
      <c r="Y92" s="44"/>
      <c r="Z92" s="43"/>
      <c r="AA92" s="44"/>
      <c r="AB92" s="45"/>
    </row>
    <row r="93" s="1" customFormat="1" spans="1:28">
      <c r="A93" s="12"/>
      <c r="B93" s="12"/>
      <c r="C93" s="12">
        <v>32</v>
      </c>
      <c r="D93" s="13"/>
      <c r="E93" s="14"/>
      <c r="F93" s="14"/>
      <c r="G93" s="14"/>
      <c r="H93" s="14"/>
      <c r="I93" s="14"/>
      <c r="J93" s="14">
        <f t="shared" si="4"/>
        <v>0</v>
      </c>
      <c r="K93" s="24">
        <f t="shared" si="6"/>
        <v>0</v>
      </c>
      <c r="M93" s="13"/>
      <c r="N93" s="14"/>
      <c r="O93" s="14"/>
      <c r="P93" s="14"/>
      <c r="Q93" s="14"/>
      <c r="R93" s="14"/>
      <c r="S93" s="14">
        <f t="shared" si="5"/>
        <v>0</v>
      </c>
      <c r="T93" s="24">
        <f t="shared" si="7"/>
        <v>0</v>
      </c>
      <c r="U93" s="38"/>
      <c r="V93" s="43"/>
      <c r="W93" s="44"/>
      <c r="X93" s="44"/>
      <c r="Y93" s="44"/>
      <c r="Z93" s="43"/>
      <c r="AA93" s="44"/>
      <c r="AB93" s="45"/>
    </row>
    <row r="94" s="1" customFormat="1" ht="12.15" spans="1:28">
      <c r="A94" s="12"/>
      <c r="B94" s="15"/>
      <c r="C94" s="15">
        <v>37</v>
      </c>
      <c r="D94" s="16"/>
      <c r="E94" s="17"/>
      <c r="F94" s="17"/>
      <c r="G94" s="17"/>
      <c r="H94" s="17"/>
      <c r="I94" s="17"/>
      <c r="J94" s="17">
        <f t="shared" si="4"/>
        <v>0</v>
      </c>
      <c r="K94" s="27">
        <f t="shared" si="6"/>
        <v>0</v>
      </c>
      <c r="M94" s="16"/>
      <c r="N94" s="17"/>
      <c r="O94" s="17"/>
      <c r="P94" s="17"/>
      <c r="Q94" s="17"/>
      <c r="R94" s="17"/>
      <c r="S94" s="17">
        <f t="shared" si="5"/>
        <v>0</v>
      </c>
      <c r="T94" s="27">
        <f t="shared" si="7"/>
        <v>0</v>
      </c>
      <c r="U94" s="38"/>
      <c r="V94" s="47"/>
      <c r="W94" s="48"/>
      <c r="X94" s="48"/>
      <c r="Y94" s="48"/>
      <c r="Z94" s="47"/>
      <c r="AA94" s="48"/>
      <c r="AB94" s="49"/>
    </row>
    <row r="95" s="1" customFormat="1" spans="1:28">
      <c r="A95" s="12"/>
      <c r="B95" s="9" t="s">
        <v>51</v>
      </c>
      <c r="C95" s="9">
        <v>22</v>
      </c>
      <c r="D95" s="10"/>
      <c r="E95" s="11"/>
      <c r="F95" s="11"/>
      <c r="G95" s="11"/>
      <c r="H95" s="11"/>
      <c r="I95" s="11"/>
      <c r="J95" s="11">
        <f t="shared" si="4"/>
        <v>0</v>
      </c>
      <c r="K95" s="21">
        <f t="shared" si="6"/>
        <v>0</v>
      </c>
      <c r="M95" s="10"/>
      <c r="N95" s="11"/>
      <c r="O95" s="11"/>
      <c r="P95" s="11"/>
      <c r="Q95" s="11"/>
      <c r="R95" s="11"/>
      <c r="S95" s="11">
        <f t="shared" si="5"/>
        <v>0</v>
      </c>
      <c r="T95" s="21">
        <f t="shared" si="7"/>
        <v>0</v>
      </c>
      <c r="U95" s="38"/>
      <c r="V95" s="39" t="e">
        <f>bdrate($D95:$D98,E95:E98,$M95:$M98,N95:N98)</f>
        <v>#VALUE!</v>
      </c>
      <c r="W95" s="40" t="e">
        <f>bdrate($D95:$D98,F95:F98,$M95:$M98,O95:O98)</f>
        <v>#VALUE!</v>
      </c>
      <c r="X95" s="40" t="e">
        <f>bdrate($D95:$D98,G95:G98,$M95:$M98,P95:P98)</f>
        <v>#VALUE!</v>
      </c>
      <c r="Y95" s="40" t="e">
        <f>bdrate(D95:D98,J95:J98,M95:M98,S95:S98)</f>
        <v>#VALUE!</v>
      </c>
      <c r="Z95" s="54" t="e">
        <f>bdrateOld($D95:$D98,E95:E98,$M95:$M98,N95:N98)</f>
        <v>#VALUE!</v>
      </c>
      <c r="AA95" s="55" t="e">
        <f>bdrateOld($D95:$D98,F95:F98,$M95:$M98,O95:O98)</f>
        <v>#VALUE!</v>
      </c>
      <c r="AB95" s="56" t="e">
        <f>bdrateOld($D95:$D98,G95:G98,$M95:$M98,P95:P98)</f>
        <v>#VALUE!</v>
      </c>
    </row>
    <row r="96" s="1" customFormat="1" spans="1:28">
      <c r="A96" s="12"/>
      <c r="B96" s="12"/>
      <c r="C96" s="12">
        <v>27</v>
      </c>
      <c r="D96" s="13"/>
      <c r="E96" s="14"/>
      <c r="F96" s="14"/>
      <c r="G96" s="14"/>
      <c r="H96" s="14"/>
      <c r="I96" s="14"/>
      <c r="J96" s="14">
        <f t="shared" si="4"/>
        <v>0</v>
      </c>
      <c r="K96" s="24">
        <f t="shared" si="6"/>
        <v>0</v>
      </c>
      <c r="M96" s="13"/>
      <c r="N96" s="14"/>
      <c r="O96" s="14"/>
      <c r="P96" s="14"/>
      <c r="Q96" s="14"/>
      <c r="R96" s="14"/>
      <c r="S96" s="14">
        <f t="shared" si="5"/>
        <v>0</v>
      </c>
      <c r="T96" s="24">
        <f t="shared" si="7"/>
        <v>0</v>
      </c>
      <c r="U96" s="38"/>
      <c r="V96" s="43"/>
      <c r="W96" s="44"/>
      <c r="X96" s="44"/>
      <c r="Y96" s="44"/>
      <c r="Z96" s="43"/>
      <c r="AA96" s="44"/>
      <c r="AB96" s="45"/>
    </row>
    <row r="97" s="1" customFormat="1" spans="1:28">
      <c r="A97" s="12"/>
      <c r="B97" s="12"/>
      <c r="C97" s="12">
        <v>32</v>
      </c>
      <c r="D97" s="13"/>
      <c r="E97" s="14"/>
      <c r="F97" s="14"/>
      <c r="G97" s="14"/>
      <c r="H97" s="14"/>
      <c r="I97" s="14"/>
      <c r="J97" s="14">
        <f t="shared" si="4"/>
        <v>0</v>
      </c>
      <c r="K97" s="24">
        <f t="shared" si="6"/>
        <v>0</v>
      </c>
      <c r="M97" s="13"/>
      <c r="N97" s="14"/>
      <c r="O97" s="14"/>
      <c r="P97" s="14"/>
      <c r="Q97" s="14"/>
      <c r="R97" s="14"/>
      <c r="S97" s="14">
        <f t="shared" si="5"/>
        <v>0</v>
      </c>
      <c r="T97" s="24">
        <f t="shared" si="7"/>
        <v>0</v>
      </c>
      <c r="U97" s="38"/>
      <c r="V97" s="43"/>
      <c r="W97" s="44"/>
      <c r="X97" s="44"/>
      <c r="Y97" s="44"/>
      <c r="Z97" s="43"/>
      <c r="AA97" s="44"/>
      <c r="AB97" s="45"/>
    </row>
    <row r="98" s="1" customFormat="1" ht="12.15" spans="1:28">
      <c r="A98" s="15"/>
      <c r="B98" s="15"/>
      <c r="C98" s="15">
        <v>37</v>
      </c>
      <c r="D98" s="16"/>
      <c r="E98" s="17"/>
      <c r="F98" s="17"/>
      <c r="G98" s="17"/>
      <c r="H98" s="17"/>
      <c r="I98" s="17"/>
      <c r="J98" s="17">
        <f t="shared" si="4"/>
        <v>0</v>
      </c>
      <c r="K98" s="27">
        <f t="shared" si="6"/>
        <v>0</v>
      </c>
      <c r="M98" s="16"/>
      <c r="N98" s="17"/>
      <c r="O98" s="17"/>
      <c r="P98" s="17"/>
      <c r="Q98" s="17"/>
      <c r="R98" s="17"/>
      <c r="S98" s="17">
        <f t="shared" si="5"/>
        <v>0</v>
      </c>
      <c r="T98" s="27">
        <f t="shared" si="7"/>
        <v>0</v>
      </c>
      <c r="U98" s="38"/>
      <c r="V98" s="47"/>
      <c r="W98" s="48"/>
      <c r="X98" s="48"/>
      <c r="Y98" s="48"/>
      <c r="Z98" s="47"/>
      <c r="AA98" s="48"/>
      <c r="AB98" s="49"/>
    </row>
    <row r="99" spans="2:28">
      <c r="B99" s="1" t="s">
        <v>17</v>
      </c>
      <c r="V99" s="39" t="e">
        <f>AVERAGE(V3,V7)</f>
        <v>#VALUE!</v>
      </c>
      <c r="W99" s="40" t="e">
        <f t="shared" ref="W99:AB99" si="8">AVERAGE(W3,W7)</f>
        <v>#VALUE!</v>
      </c>
      <c r="X99" s="40" t="e">
        <f t="shared" si="8"/>
        <v>#VALUE!</v>
      </c>
      <c r="Y99" s="40" t="e">
        <f t="shared" si="8"/>
        <v>#VALUE!</v>
      </c>
      <c r="Z99" s="39" t="e">
        <f t="shared" si="8"/>
        <v>#VALUE!</v>
      </c>
      <c r="AA99" s="40" t="e">
        <f t="shared" si="8"/>
        <v>#VALUE!</v>
      </c>
      <c r="AB99" s="41" t="e">
        <f t="shared" si="8"/>
        <v>#VALUE!</v>
      </c>
    </row>
    <row r="100" spans="2:28">
      <c r="B100" s="1" t="s">
        <v>23</v>
      </c>
      <c r="V100" s="54" t="e">
        <f t="shared" ref="V100:AB100" si="9">AVERAGE(V19,V23,V27,V31,V35)</f>
        <v>#VALUE!</v>
      </c>
      <c r="W100" s="55" t="e">
        <f t="shared" si="9"/>
        <v>#VALUE!</v>
      </c>
      <c r="X100" s="55" t="e">
        <f t="shared" si="9"/>
        <v>#VALUE!</v>
      </c>
      <c r="Y100" s="55" t="e">
        <f t="shared" si="9"/>
        <v>#VALUE!</v>
      </c>
      <c r="Z100" s="54" t="e">
        <f t="shared" si="9"/>
        <v>#VALUE!</v>
      </c>
      <c r="AA100" s="55" t="e">
        <f t="shared" si="9"/>
        <v>#VALUE!</v>
      </c>
      <c r="AB100" s="56" t="e">
        <f t="shared" si="9"/>
        <v>#VALUE!</v>
      </c>
    </row>
    <row r="101" spans="2:28">
      <c r="B101" s="1" t="s">
        <v>30</v>
      </c>
      <c r="V101" s="54" t="e">
        <f t="shared" ref="V101:AB101" si="10">AVERAGE(V39,V43,V47,V51)</f>
        <v>#VALUE!</v>
      </c>
      <c r="W101" s="55" t="e">
        <f t="shared" si="10"/>
        <v>#VALUE!</v>
      </c>
      <c r="X101" s="55" t="e">
        <f t="shared" si="10"/>
        <v>#VALUE!</v>
      </c>
      <c r="Y101" s="55" t="e">
        <f t="shared" si="10"/>
        <v>#VALUE!</v>
      </c>
      <c r="Z101" s="54" t="e">
        <f t="shared" si="10"/>
        <v>#VALUE!</v>
      </c>
      <c r="AA101" s="55" t="e">
        <f t="shared" si="10"/>
        <v>#VALUE!</v>
      </c>
      <c r="AB101" s="56" t="e">
        <f t="shared" si="10"/>
        <v>#VALUE!</v>
      </c>
    </row>
    <row r="102" spans="2:28">
      <c r="B102" s="1" t="s">
        <v>36</v>
      </c>
      <c r="V102" s="54" t="e">
        <f t="shared" ref="V102:AB102" si="11">AVERAGE(V55,V59,V63,V67)</f>
        <v>#VALUE!</v>
      </c>
      <c r="W102" s="55" t="e">
        <f t="shared" si="11"/>
        <v>#VALUE!</v>
      </c>
      <c r="X102" s="55" t="e">
        <f t="shared" si="11"/>
        <v>#VALUE!</v>
      </c>
      <c r="Y102" s="55" t="e">
        <f t="shared" si="11"/>
        <v>#VALUE!</v>
      </c>
      <c r="Z102" s="54" t="e">
        <f t="shared" si="11"/>
        <v>#VALUE!</v>
      </c>
      <c r="AA102" s="55" t="e">
        <f t="shared" si="11"/>
        <v>#VALUE!</v>
      </c>
      <c r="AB102" s="56" t="e">
        <f t="shared" si="11"/>
        <v>#VALUE!</v>
      </c>
    </row>
    <row r="103" spans="2:28">
      <c r="B103" s="1" t="s">
        <v>52</v>
      </c>
      <c r="V103" s="54" t="e">
        <f>AVERAGE(V71,V75,V79)</f>
        <v>#VALUE!</v>
      </c>
      <c r="W103" s="55" t="e">
        <f t="shared" ref="W103:AB103" si="12">AVERAGE(W71,W75,W79)</f>
        <v>#VALUE!</v>
      </c>
      <c r="X103" s="55" t="e">
        <f t="shared" si="12"/>
        <v>#VALUE!</v>
      </c>
      <c r="Y103" s="56" t="e">
        <f t="shared" si="12"/>
        <v>#VALUE!</v>
      </c>
      <c r="Z103" s="54" t="e">
        <f t="shared" si="12"/>
        <v>#VALUE!</v>
      </c>
      <c r="AA103" s="55" t="e">
        <f t="shared" si="12"/>
        <v>#VALUE!</v>
      </c>
      <c r="AB103" s="56" t="e">
        <f t="shared" si="12"/>
        <v>#VALUE!</v>
      </c>
    </row>
    <row r="104" s="1" customFormat="1" ht="12.15" spans="2:28">
      <c r="B104" s="1" t="s">
        <v>46</v>
      </c>
      <c r="V104" s="54" t="e">
        <f>AVERAGE(V83,V87,V91,V95)</f>
        <v>#VALUE!</v>
      </c>
      <c r="W104" s="55" t="e">
        <f t="shared" ref="W104:AB104" si="13">AVERAGE(W83,W87,W91,W95)</f>
        <v>#VALUE!</v>
      </c>
      <c r="X104" s="55" t="e">
        <f t="shared" si="13"/>
        <v>#VALUE!</v>
      </c>
      <c r="Y104" s="56" t="e">
        <f t="shared" si="13"/>
        <v>#VALUE!</v>
      </c>
      <c r="Z104" s="54" t="e">
        <f t="shared" si="13"/>
        <v>#VALUE!</v>
      </c>
      <c r="AA104" s="55" t="e">
        <f t="shared" si="13"/>
        <v>#VALUE!</v>
      </c>
      <c r="AB104" s="56" t="e">
        <f t="shared" si="13"/>
        <v>#VALUE!</v>
      </c>
    </row>
    <row r="105" ht="12.15" spans="1:28">
      <c r="A105" s="4"/>
      <c r="B105" s="5" t="s">
        <v>53</v>
      </c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8" t="e">
        <f>AVERAGE(V3:V98)</f>
        <v>#VALUE!</v>
      </c>
      <c r="W105" s="59" t="e">
        <f t="shared" ref="W105:AB105" si="14">AVERAGE(W3:W98)</f>
        <v>#VALUE!</v>
      </c>
      <c r="X105" s="59" t="e">
        <f t="shared" si="14"/>
        <v>#VALUE!</v>
      </c>
      <c r="Y105" s="61" t="e">
        <f t="shared" si="14"/>
        <v>#VALUE!</v>
      </c>
      <c r="Z105" s="58" t="e">
        <f t="shared" si="14"/>
        <v>#VALUE!</v>
      </c>
      <c r="AA105" s="59" t="e">
        <f t="shared" si="14"/>
        <v>#VALUE!</v>
      </c>
      <c r="AB105" s="61" t="e">
        <f t="shared" si="14"/>
        <v>#VALUE!</v>
      </c>
    </row>
    <row r="106" spans="2:20">
      <c r="B106" s="1" t="s">
        <v>54</v>
      </c>
      <c r="I106" s="57" t="e">
        <f>GEOMEAN(I3:I98)</f>
        <v>#NUM!</v>
      </c>
      <c r="J106" s="57"/>
      <c r="K106" s="57" t="e">
        <f>GEOMEAN(K3:K98)</f>
        <v>#NUM!</v>
      </c>
      <c r="R106" s="57" t="e">
        <f>GEOMEAN(R3:R98)</f>
        <v>#NUM!</v>
      </c>
      <c r="S106" s="57"/>
      <c r="T106" s="57" t="e">
        <f>GEOMEAN(T3:T98)</f>
        <v>#NUM!</v>
      </c>
    </row>
    <row r="107" spans="2:20">
      <c r="B107" s="1" t="s">
        <v>55</v>
      </c>
      <c r="R107" s="60" t="e">
        <f>R106/I106</f>
        <v>#NUM!</v>
      </c>
      <c r="S107" s="60"/>
      <c r="T107" s="60" t="e">
        <f>T106/K106</f>
        <v>#NUM!</v>
      </c>
    </row>
    <row r="108" spans="2:20">
      <c r="B108" s="1" t="s">
        <v>56</v>
      </c>
      <c r="I108" s="57"/>
      <c r="J108" s="57"/>
      <c r="K108" s="57">
        <f>SUM(K3:K98)</f>
        <v>0</v>
      </c>
      <c r="R108" s="57">
        <f>SUM(R3:R98)/3600</f>
        <v>0</v>
      </c>
      <c r="S108" s="57"/>
      <c r="T108" s="57">
        <f>SUM(T3:T98)</f>
        <v>0</v>
      </c>
    </row>
  </sheetData>
  <mergeCells count="4">
    <mergeCell ref="D1:K1"/>
    <mergeCell ref="M1:T1"/>
    <mergeCell ref="V1:X1"/>
    <mergeCell ref="Z1:AB1"/>
  </mergeCells>
  <conditionalFormatting sqref="V3">
    <cfRule type="cellIs" dxfId="0" priority="35" operator="greaterThan">
      <formula>0.03</formula>
    </cfRule>
    <cfRule type="cellIs" dxfId="1" priority="36" stopIfTrue="1" operator="lessThan">
      <formula>-0.03</formula>
    </cfRule>
  </conditionalFormatting>
  <conditionalFormatting sqref="Z3">
    <cfRule type="cellIs" dxfId="0" priority="195" operator="greaterThan">
      <formula>0.03</formula>
    </cfRule>
    <cfRule type="cellIs" dxfId="1" priority="196" stopIfTrue="1" operator="lessThan">
      <formula>-0.03</formula>
    </cfRule>
  </conditionalFormatting>
  <conditionalFormatting sqref="AA3">
    <cfRule type="cellIs" dxfId="0" priority="193" operator="greaterThan">
      <formula>0.03</formula>
    </cfRule>
    <cfRule type="cellIs" dxfId="1" priority="194" stopIfTrue="1" operator="lessThan">
      <formula>-0.03</formula>
    </cfRule>
  </conditionalFormatting>
  <conditionalFormatting sqref="AB3">
    <cfRule type="cellIs" dxfId="0" priority="191" operator="greaterThan">
      <formula>0.03</formula>
    </cfRule>
    <cfRule type="cellIs" dxfId="1" priority="192" stopIfTrue="1" operator="lessThan">
      <formula>-0.03</formula>
    </cfRule>
  </conditionalFormatting>
  <conditionalFormatting sqref="Z6:AA6">
    <cfRule type="cellIs" dxfId="0" priority="73" operator="greaterThan">
      <formula>0.03</formula>
    </cfRule>
    <cfRule type="cellIs" dxfId="1" priority="74" stopIfTrue="1" operator="lessThan">
      <formula>-0.03</formula>
    </cfRule>
  </conditionalFormatting>
  <conditionalFormatting sqref="Z7">
    <cfRule type="cellIs" dxfId="0" priority="189" operator="greaterThan">
      <formula>0.03</formula>
    </cfRule>
    <cfRule type="cellIs" dxfId="1" priority="190" stopIfTrue="1" operator="lessThan">
      <formula>-0.03</formula>
    </cfRule>
  </conditionalFormatting>
  <conditionalFormatting sqref="AA7">
    <cfRule type="cellIs" dxfId="0" priority="187" operator="greaterThan">
      <formula>0.03</formula>
    </cfRule>
    <cfRule type="cellIs" dxfId="1" priority="188" stopIfTrue="1" operator="lessThan">
      <formula>-0.03</formula>
    </cfRule>
  </conditionalFormatting>
  <conditionalFormatting sqref="AB7">
    <cfRule type="cellIs" dxfId="0" priority="185" operator="greaterThan">
      <formula>0.03</formula>
    </cfRule>
    <cfRule type="cellIs" dxfId="1" priority="186" stopIfTrue="1" operator="lessThan">
      <formula>-0.03</formula>
    </cfRule>
  </conditionalFormatting>
  <conditionalFormatting sqref="Z10:AA10">
    <cfRule type="cellIs" dxfId="0" priority="71" operator="greaterThan">
      <formula>0.03</formula>
    </cfRule>
    <cfRule type="cellIs" dxfId="1" priority="72" stopIfTrue="1" operator="lessThan">
      <formula>-0.03</formula>
    </cfRule>
  </conditionalFormatting>
  <conditionalFormatting sqref="Z11">
    <cfRule type="cellIs" dxfId="0" priority="183" operator="greaterThan">
      <formula>0.03</formula>
    </cfRule>
    <cfRule type="cellIs" dxfId="1" priority="184" stopIfTrue="1" operator="lessThan">
      <formula>-0.03</formula>
    </cfRule>
  </conditionalFormatting>
  <conditionalFormatting sqref="AA11">
    <cfRule type="cellIs" dxfId="0" priority="181" operator="greaterThan">
      <formula>0.03</formula>
    </cfRule>
    <cfRule type="cellIs" dxfId="1" priority="182" stopIfTrue="1" operator="lessThan">
      <formula>-0.03</formula>
    </cfRule>
  </conditionalFormatting>
  <conditionalFormatting sqref="AB11">
    <cfRule type="cellIs" dxfId="0" priority="179" operator="greaterThan">
      <formula>0.03</formula>
    </cfRule>
    <cfRule type="cellIs" dxfId="1" priority="180" stopIfTrue="1" operator="lessThan">
      <formula>-0.03</formula>
    </cfRule>
  </conditionalFormatting>
  <conditionalFormatting sqref="Z14:AA14">
    <cfRule type="cellIs" dxfId="0" priority="69" operator="greaterThan">
      <formula>0.03</formula>
    </cfRule>
    <cfRule type="cellIs" dxfId="1" priority="70" stopIfTrue="1" operator="lessThan">
      <formula>-0.03</formula>
    </cfRule>
  </conditionalFormatting>
  <conditionalFormatting sqref="Z15">
    <cfRule type="cellIs" dxfId="0" priority="177" operator="greaterThan">
      <formula>0.03</formula>
    </cfRule>
    <cfRule type="cellIs" dxfId="1" priority="178" stopIfTrue="1" operator="lessThan">
      <formula>-0.03</formula>
    </cfRule>
  </conditionalFormatting>
  <conditionalFormatting sqref="AA15">
    <cfRule type="cellIs" dxfId="0" priority="175" operator="greaterThan">
      <formula>0.03</formula>
    </cfRule>
    <cfRule type="cellIs" dxfId="1" priority="176" stopIfTrue="1" operator="lessThan">
      <formula>-0.03</formula>
    </cfRule>
  </conditionalFormatting>
  <conditionalFormatting sqref="AB15">
    <cfRule type="cellIs" dxfId="0" priority="173" operator="greaterThan">
      <formula>0.03</formula>
    </cfRule>
    <cfRule type="cellIs" dxfId="1" priority="174" stopIfTrue="1" operator="lessThan">
      <formula>-0.03</formula>
    </cfRule>
  </conditionalFormatting>
  <conditionalFormatting sqref="Z18:AA18">
    <cfRule type="cellIs" dxfId="0" priority="67" operator="greaterThan">
      <formula>0.03</formula>
    </cfRule>
    <cfRule type="cellIs" dxfId="1" priority="68" stopIfTrue="1" operator="lessThan">
      <formula>-0.03</formula>
    </cfRule>
  </conditionalFormatting>
  <conditionalFormatting sqref="Z19">
    <cfRule type="cellIs" dxfId="0" priority="171" operator="greaterThan">
      <formula>0.03</formula>
    </cfRule>
    <cfRule type="cellIs" dxfId="1" priority="172" stopIfTrue="1" operator="lessThan">
      <formula>-0.03</formula>
    </cfRule>
  </conditionalFormatting>
  <conditionalFormatting sqref="AA19">
    <cfRule type="cellIs" dxfId="0" priority="169" operator="greaterThan">
      <formula>0.03</formula>
    </cfRule>
    <cfRule type="cellIs" dxfId="1" priority="170" stopIfTrue="1" operator="lessThan">
      <formula>-0.03</formula>
    </cfRule>
  </conditionalFormatting>
  <conditionalFormatting sqref="AB19">
    <cfRule type="cellIs" dxfId="0" priority="167" operator="greaterThan">
      <formula>0.03</formula>
    </cfRule>
    <cfRule type="cellIs" dxfId="1" priority="168" stopIfTrue="1" operator="lessThan">
      <formula>-0.03</formula>
    </cfRule>
  </conditionalFormatting>
  <conditionalFormatting sqref="Z22:AA22">
    <cfRule type="cellIs" dxfId="0" priority="65" operator="greaterThan">
      <formula>0.03</formula>
    </cfRule>
    <cfRule type="cellIs" dxfId="1" priority="66" stopIfTrue="1" operator="lessThan">
      <formula>-0.03</formula>
    </cfRule>
  </conditionalFormatting>
  <conditionalFormatting sqref="Z23">
    <cfRule type="cellIs" dxfId="0" priority="165" operator="greaterThan">
      <formula>0.03</formula>
    </cfRule>
    <cfRule type="cellIs" dxfId="1" priority="166" stopIfTrue="1" operator="lessThan">
      <formula>-0.03</formula>
    </cfRule>
  </conditionalFormatting>
  <conditionalFormatting sqref="AA23">
    <cfRule type="cellIs" dxfId="0" priority="163" operator="greaterThan">
      <formula>0.03</formula>
    </cfRule>
    <cfRule type="cellIs" dxfId="1" priority="164" stopIfTrue="1" operator="lessThan">
      <formula>-0.03</formula>
    </cfRule>
  </conditionalFormatting>
  <conditionalFormatting sqref="AB23">
    <cfRule type="cellIs" dxfId="0" priority="161" operator="greaterThan">
      <formula>0.03</formula>
    </cfRule>
    <cfRule type="cellIs" dxfId="1" priority="162" stopIfTrue="1" operator="lessThan">
      <formula>-0.03</formula>
    </cfRule>
  </conditionalFormatting>
  <conditionalFormatting sqref="Z26:AA26">
    <cfRule type="cellIs" dxfId="0" priority="63" operator="greaterThan">
      <formula>0.03</formula>
    </cfRule>
    <cfRule type="cellIs" dxfId="1" priority="64" stopIfTrue="1" operator="lessThan">
      <formula>-0.03</formula>
    </cfRule>
  </conditionalFormatting>
  <conditionalFormatting sqref="Z27">
    <cfRule type="cellIs" dxfId="0" priority="159" operator="greaterThan">
      <formula>0.03</formula>
    </cfRule>
    <cfRule type="cellIs" dxfId="1" priority="160" stopIfTrue="1" operator="lessThan">
      <formula>-0.03</formula>
    </cfRule>
  </conditionalFormatting>
  <conditionalFormatting sqref="AA27">
    <cfRule type="cellIs" dxfId="0" priority="157" operator="greaterThan">
      <formula>0.03</formula>
    </cfRule>
    <cfRule type="cellIs" dxfId="1" priority="158" stopIfTrue="1" operator="lessThan">
      <formula>-0.03</formula>
    </cfRule>
  </conditionalFormatting>
  <conditionalFormatting sqref="AB27">
    <cfRule type="cellIs" dxfId="0" priority="155" operator="greaterThan">
      <formula>0.03</formula>
    </cfRule>
    <cfRule type="cellIs" dxfId="1" priority="156" stopIfTrue="1" operator="lessThan">
      <formula>-0.03</formula>
    </cfRule>
  </conditionalFormatting>
  <conditionalFormatting sqref="Z30:AA30">
    <cfRule type="cellIs" dxfId="0" priority="61" operator="greaterThan">
      <formula>0.03</formula>
    </cfRule>
    <cfRule type="cellIs" dxfId="1" priority="62" stopIfTrue="1" operator="lessThan">
      <formula>-0.03</formula>
    </cfRule>
  </conditionalFormatting>
  <conditionalFormatting sqref="Z31">
    <cfRule type="cellIs" dxfId="0" priority="153" operator="greaterThan">
      <formula>0.03</formula>
    </cfRule>
    <cfRule type="cellIs" dxfId="1" priority="154" stopIfTrue="1" operator="lessThan">
      <formula>-0.03</formula>
    </cfRule>
  </conditionalFormatting>
  <conditionalFormatting sqref="AA31">
    <cfRule type="cellIs" dxfId="0" priority="151" operator="greaterThan">
      <formula>0.03</formula>
    </cfRule>
    <cfRule type="cellIs" dxfId="1" priority="152" stopIfTrue="1" operator="lessThan">
      <formula>-0.03</formula>
    </cfRule>
  </conditionalFormatting>
  <conditionalFormatting sqref="AB31">
    <cfRule type="cellIs" dxfId="0" priority="149" operator="greaterThan">
      <formula>0.03</formula>
    </cfRule>
    <cfRule type="cellIs" dxfId="1" priority="150" stopIfTrue="1" operator="lessThan">
      <formula>-0.03</formula>
    </cfRule>
  </conditionalFormatting>
  <conditionalFormatting sqref="Z34:AA34">
    <cfRule type="cellIs" dxfId="0" priority="59" operator="greaterThan">
      <formula>0.03</formula>
    </cfRule>
    <cfRule type="cellIs" dxfId="1" priority="60" stopIfTrue="1" operator="lessThan">
      <formula>-0.03</formula>
    </cfRule>
  </conditionalFormatting>
  <conditionalFormatting sqref="Z35">
    <cfRule type="cellIs" dxfId="0" priority="147" operator="greaterThan">
      <formula>0.03</formula>
    </cfRule>
    <cfRule type="cellIs" dxfId="1" priority="148" stopIfTrue="1" operator="lessThan">
      <formula>-0.03</formula>
    </cfRule>
  </conditionalFormatting>
  <conditionalFormatting sqref="AA35">
    <cfRule type="cellIs" dxfId="0" priority="145" operator="greaterThan">
      <formula>0.03</formula>
    </cfRule>
    <cfRule type="cellIs" dxfId="1" priority="146" stopIfTrue="1" operator="lessThan">
      <formula>-0.03</formula>
    </cfRule>
  </conditionalFormatting>
  <conditionalFormatting sqref="AB35">
    <cfRule type="cellIs" dxfId="0" priority="143" operator="greaterThan">
      <formula>0.03</formula>
    </cfRule>
    <cfRule type="cellIs" dxfId="1" priority="144" stopIfTrue="1" operator="lessThan">
      <formula>-0.03</formula>
    </cfRule>
  </conditionalFormatting>
  <conditionalFormatting sqref="Z38:AA38">
    <cfRule type="cellIs" dxfId="0" priority="57" operator="greaterThan">
      <formula>0.03</formula>
    </cfRule>
    <cfRule type="cellIs" dxfId="1" priority="58" stopIfTrue="1" operator="lessThan">
      <formula>-0.03</formula>
    </cfRule>
  </conditionalFormatting>
  <conditionalFormatting sqref="Z39">
    <cfRule type="cellIs" dxfId="0" priority="141" operator="greaterThan">
      <formula>0.03</formula>
    </cfRule>
    <cfRule type="cellIs" dxfId="1" priority="142" stopIfTrue="1" operator="lessThan">
      <formula>-0.03</formula>
    </cfRule>
  </conditionalFormatting>
  <conditionalFormatting sqref="AA39">
    <cfRule type="cellIs" dxfId="0" priority="139" operator="greaterThan">
      <formula>0.03</formula>
    </cfRule>
    <cfRule type="cellIs" dxfId="1" priority="140" stopIfTrue="1" operator="lessThan">
      <formula>-0.03</formula>
    </cfRule>
  </conditionalFormatting>
  <conditionalFormatting sqref="AB39">
    <cfRule type="cellIs" dxfId="0" priority="137" operator="greaterThan">
      <formula>0.03</formula>
    </cfRule>
    <cfRule type="cellIs" dxfId="1" priority="138" stopIfTrue="1" operator="lessThan">
      <formula>-0.03</formula>
    </cfRule>
  </conditionalFormatting>
  <conditionalFormatting sqref="Z42:AA42">
    <cfRule type="cellIs" dxfId="0" priority="55" operator="greaterThan">
      <formula>0.03</formula>
    </cfRule>
    <cfRule type="cellIs" dxfId="1" priority="56" stopIfTrue="1" operator="lessThan">
      <formula>-0.03</formula>
    </cfRule>
  </conditionalFormatting>
  <conditionalFormatting sqref="Z43">
    <cfRule type="cellIs" dxfId="0" priority="135" operator="greaterThan">
      <formula>0.03</formula>
    </cfRule>
    <cfRule type="cellIs" dxfId="1" priority="136" stopIfTrue="1" operator="lessThan">
      <formula>-0.03</formula>
    </cfRule>
  </conditionalFormatting>
  <conditionalFormatting sqref="AA43">
    <cfRule type="cellIs" dxfId="0" priority="133" operator="greaterThan">
      <formula>0.03</formula>
    </cfRule>
    <cfRule type="cellIs" dxfId="1" priority="134" stopIfTrue="1" operator="lessThan">
      <formula>-0.03</formula>
    </cfRule>
  </conditionalFormatting>
  <conditionalFormatting sqref="AB43">
    <cfRule type="cellIs" dxfId="0" priority="131" operator="greaterThan">
      <formula>0.03</formula>
    </cfRule>
    <cfRule type="cellIs" dxfId="1" priority="132" stopIfTrue="1" operator="lessThan">
      <formula>-0.03</formula>
    </cfRule>
  </conditionalFormatting>
  <conditionalFormatting sqref="Z46:AA46">
    <cfRule type="cellIs" dxfId="0" priority="53" operator="greaterThan">
      <formula>0.03</formula>
    </cfRule>
    <cfRule type="cellIs" dxfId="1" priority="54" stopIfTrue="1" operator="lessThan">
      <formula>-0.03</formula>
    </cfRule>
  </conditionalFormatting>
  <conditionalFormatting sqref="Z47">
    <cfRule type="cellIs" dxfId="0" priority="129" operator="greaterThan">
      <formula>0.03</formula>
    </cfRule>
    <cfRule type="cellIs" dxfId="1" priority="130" stopIfTrue="1" operator="lessThan">
      <formula>-0.03</formula>
    </cfRule>
  </conditionalFormatting>
  <conditionalFormatting sqref="AA47">
    <cfRule type="cellIs" dxfId="0" priority="127" operator="greaterThan">
      <formula>0.03</formula>
    </cfRule>
    <cfRule type="cellIs" dxfId="1" priority="128" stopIfTrue="1" operator="lessThan">
      <formula>-0.03</formula>
    </cfRule>
  </conditionalFormatting>
  <conditionalFormatting sqref="AB47">
    <cfRule type="cellIs" dxfId="0" priority="125" operator="greaterThan">
      <formula>0.03</formula>
    </cfRule>
    <cfRule type="cellIs" dxfId="1" priority="126" stopIfTrue="1" operator="lessThan">
      <formula>-0.03</formula>
    </cfRule>
  </conditionalFormatting>
  <conditionalFormatting sqref="Z50:AA50">
    <cfRule type="cellIs" dxfId="0" priority="51" operator="greaterThan">
      <formula>0.03</formula>
    </cfRule>
    <cfRule type="cellIs" dxfId="1" priority="52" stopIfTrue="1" operator="lessThan">
      <formula>-0.03</formula>
    </cfRule>
  </conditionalFormatting>
  <conditionalFormatting sqref="Z51">
    <cfRule type="cellIs" dxfId="0" priority="123" operator="greaterThan">
      <formula>0.03</formula>
    </cfRule>
    <cfRule type="cellIs" dxfId="1" priority="124" stopIfTrue="1" operator="lessThan">
      <formula>-0.03</formula>
    </cfRule>
  </conditionalFormatting>
  <conditionalFormatting sqref="AA51">
    <cfRule type="cellIs" dxfId="0" priority="121" operator="greaterThan">
      <formula>0.03</formula>
    </cfRule>
    <cfRule type="cellIs" dxfId="1" priority="122" stopIfTrue="1" operator="lessThan">
      <formula>-0.03</formula>
    </cfRule>
  </conditionalFormatting>
  <conditionalFormatting sqref="AB51">
    <cfRule type="cellIs" dxfId="0" priority="119" operator="greaterThan">
      <formula>0.03</formula>
    </cfRule>
    <cfRule type="cellIs" dxfId="1" priority="120" stopIfTrue="1" operator="lessThan">
      <formula>-0.03</formula>
    </cfRule>
  </conditionalFormatting>
  <conditionalFormatting sqref="Z54:AA54">
    <cfRule type="cellIs" dxfId="0" priority="49" operator="greaterThan">
      <formula>0.03</formula>
    </cfRule>
    <cfRule type="cellIs" dxfId="1" priority="50" stopIfTrue="1" operator="lessThan">
      <formula>-0.03</formula>
    </cfRule>
  </conditionalFormatting>
  <conditionalFormatting sqref="Z55">
    <cfRule type="cellIs" dxfId="0" priority="117" operator="greaterThan">
      <formula>0.03</formula>
    </cfRule>
    <cfRule type="cellIs" dxfId="1" priority="118" stopIfTrue="1" operator="lessThan">
      <formula>-0.03</formula>
    </cfRule>
  </conditionalFormatting>
  <conditionalFormatting sqref="AA55">
    <cfRule type="cellIs" dxfId="0" priority="115" operator="greaterThan">
      <formula>0.03</formula>
    </cfRule>
    <cfRule type="cellIs" dxfId="1" priority="116" stopIfTrue="1" operator="lessThan">
      <formula>-0.03</formula>
    </cfRule>
  </conditionalFormatting>
  <conditionalFormatting sqref="AB55">
    <cfRule type="cellIs" dxfId="0" priority="113" operator="greaterThan">
      <formula>0.03</formula>
    </cfRule>
    <cfRule type="cellIs" dxfId="1" priority="114" stopIfTrue="1" operator="lessThan">
      <formula>-0.03</formula>
    </cfRule>
  </conditionalFormatting>
  <conditionalFormatting sqref="Z58:AA58">
    <cfRule type="cellIs" dxfId="0" priority="47" operator="greaterThan">
      <formula>0.03</formula>
    </cfRule>
    <cfRule type="cellIs" dxfId="1" priority="48" stopIfTrue="1" operator="lessThan">
      <formula>-0.03</formula>
    </cfRule>
  </conditionalFormatting>
  <conditionalFormatting sqref="Z59">
    <cfRule type="cellIs" dxfId="0" priority="111" operator="greaterThan">
      <formula>0.03</formula>
    </cfRule>
    <cfRule type="cellIs" dxfId="1" priority="112" stopIfTrue="1" operator="lessThan">
      <formula>-0.03</formula>
    </cfRule>
  </conditionalFormatting>
  <conditionalFormatting sqref="AA59">
    <cfRule type="cellIs" dxfId="0" priority="109" operator="greaterThan">
      <formula>0.03</formula>
    </cfRule>
    <cfRule type="cellIs" dxfId="1" priority="110" stopIfTrue="1" operator="lessThan">
      <formula>-0.03</formula>
    </cfRule>
  </conditionalFormatting>
  <conditionalFormatting sqref="AB59">
    <cfRule type="cellIs" dxfId="0" priority="107" operator="greaterThan">
      <formula>0.03</formula>
    </cfRule>
    <cfRule type="cellIs" dxfId="1" priority="108" stopIfTrue="1" operator="lessThan">
      <formula>-0.03</formula>
    </cfRule>
  </conditionalFormatting>
  <conditionalFormatting sqref="Z62:AA62">
    <cfRule type="cellIs" dxfId="0" priority="45" operator="greaterThan">
      <formula>0.03</formula>
    </cfRule>
    <cfRule type="cellIs" dxfId="1" priority="46" stopIfTrue="1" operator="lessThan">
      <formula>-0.03</formula>
    </cfRule>
  </conditionalFormatting>
  <conditionalFormatting sqref="Z63">
    <cfRule type="cellIs" dxfId="0" priority="105" operator="greaterThan">
      <formula>0.03</formula>
    </cfRule>
    <cfRule type="cellIs" dxfId="1" priority="106" stopIfTrue="1" operator="lessThan">
      <formula>-0.03</formula>
    </cfRule>
  </conditionalFormatting>
  <conditionalFormatting sqref="AA63">
    <cfRule type="cellIs" dxfId="0" priority="103" operator="greaterThan">
      <formula>0.03</formula>
    </cfRule>
    <cfRule type="cellIs" dxfId="1" priority="104" stopIfTrue="1" operator="lessThan">
      <formula>-0.03</formula>
    </cfRule>
  </conditionalFormatting>
  <conditionalFormatting sqref="AB63">
    <cfRule type="cellIs" dxfId="0" priority="101" operator="greaterThan">
      <formula>0.03</formula>
    </cfRule>
    <cfRule type="cellIs" dxfId="1" priority="102" stopIfTrue="1" operator="lessThan">
      <formula>-0.03</formula>
    </cfRule>
  </conditionalFormatting>
  <conditionalFormatting sqref="Z66:AA66">
    <cfRule type="cellIs" dxfId="0" priority="43" operator="greaterThan">
      <formula>0.03</formula>
    </cfRule>
    <cfRule type="cellIs" dxfId="1" priority="44" stopIfTrue="1" operator="lessThan">
      <formula>-0.03</formula>
    </cfRule>
  </conditionalFormatting>
  <conditionalFormatting sqref="Z83">
    <cfRule type="cellIs" dxfId="0" priority="31" operator="greaterThan">
      <formula>0.03</formula>
    </cfRule>
    <cfRule type="cellIs" dxfId="1" priority="32" stopIfTrue="1" operator="lessThan">
      <formula>-0.03</formula>
    </cfRule>
  </conditionalFormatting>
  <conditionalFormatting sqref="AA83">
    <cfRule type="cellIs" dxfId="0" priority="29" operator="greaterThan">
      <formula>0.03</formula>
    </cfRule>
    <cfRule type="cellIs" dxfId="1" priority="30" stopIfTrue="1" operator="lessThan">
      <formula>-0.03</formula>
    </cfRule>
  </conditionalFormatting>
  <conditionalFormatting sqref="AB83">
    <cfRule type="cellIs" dxfId="0" priority="27" operator="greaterThan">
      <formula>0.03</formula>
    </cfRule>
    <cfRule type="cellIs" dxfId="1" priority="28" stopIfTrue="1" operator="lessThan">
      <formula>-0.03</formula>
    </cfRule>
  </conditionalFormatting>
  <conditionalFormatting sqref="Z86:AA86">
    <cfRule type="cellIs" dxfId="0" priority="7" operator="greaterThan">
      <formula>0.03</formula>
    </cfRule>
    <cfRule type="cellIs" dxfId="1" priority="8" stopIfTrue="1" operator="lessThan">
      <formula>-0.03</formula>
    </cfRule>
  </conditionalFormatting>
  <conditionalFormatting sqref="Z87">
    <cfRule type="cellIs" dxfId="0" priority="25" operator="greaterThan">
      <formula>0.03</formula>
    </cfRule>
    <cfRule type="cellIs" dxfId="1" priority="26" stopIfTrue="1" operator="lessThan">
      <formula>-0.03</formula>
    </cfRule>
  </conditionalFormatting>
  <conditionalFormatting sqref="AA87">
    <cfRule type="cellIs" dxfId="0" priority="23" operator="greaterThan">
      <formula>0.03</formula>
    </cfRule>
    <cfRule type="cellIs" dxfId="1" priority="24" stopIfTrue="1" operator="lessThan">
      <formula>-0.03</formula>
    </cfRule>
  </conditionalFormatting>
  <conditionalFormatting sqref="AB87">
    <cfRule type="cellIs" dxfId="0" priority="21" operator="greaterThan">
      <formula>0.03</formula>
    </cfRule>
    <cfRule type="cellIs" dxfId="1" priority="22" stopIfTrue="1" operator="lessThan">
      <formula>-0.03</formula>
    </cfRule>
  </conditionalFormatting>
  <conditionalFormatting sqref="Z90:AA90">
    <cfRule type="cellIs" dxfId="0" priority="5" operator="greaterThan">
      <formula>0.03</formula>
    </cfRule>
    <cfRule type="cellIs" dxfId="1" priority="6" stopIfTrue="1" operator="lessThan">
      <formula>-0.03</formula>
    </cfRule>
  </conditionalFormatting>
  <conditionalFormatting sqref="Z91">
    <cfRule type="cellIs" dxfId="0" priority="19" operator="greaterThan">
      <formula>0.03</formula>
    </cfRule>
    <cfRule type="cellIs" dxfId="1" priority="20" stopIfTrue="1" operator="lessThan">
      <formula>-0.03</formula>
    </cfRule>
  </conditionalFormatting>
  <conditionalFormatting sqref="AA91">
    <cfRule type="cellIs" dxfId="0" priority="17" operator="greaterThan">
      <formula>0.03</formula>
    </cfRule>
    <cfRule type="cellIs" dxfId="1" priority="18" stopIfTrue="1" operator="lessThan">
      <formula>-0.03</formula>
    </cfRule>
  </conditionalFormatting>
  <conditionalFormatting sqref="AB91">
    <cfRule type="cellIs" dxfId="0" priority="15" operator="greaterThan">
      <formula>0.03</formula>
    </cfRule>
    <cfRule type="cellIs" dxfId="1" priority="16" stopIfTrue="1" operator="lessThan">
      <formula>-0.03</formula>
    </cfRule>
  </conditionalFormatting>
  <conditionalFormatting sqref="Z94:AA94">
    <cfRule type="cellIs" dxfId="0" priority="3" operator="greaterThan">
      <formula>0.03</formula>
    </cfRule>
    <cfRule type="cellIs" dxfId="1" priority="4" stopIfTrue="1" operator="lessThan">
      <formula>-0.03</formula>
    </cfRule>
  </conditionalFormatting>
  <conditionalFormatting sqref="Z95">
    <cfRule type="cellIs" dxfId="0" priority="13" operator="greaterThan">
      <formula>0.03</formula>
    </cfRule>
    <cfRule type="cellIs" dxfId="1" priority="14" stopIfTrue="1" operator="lessThan">
      <formula>-0.03</formula>
    </cfRule>
  </conditionalFormatting>
  <conditionalFormatting sqref="AA95">
    <cfRule type="cellIs" dxfId="0" priority="11" operator="greaterThan">
      <formula>0.03</formula>
    </cfRule>
    <cfRule type="cellIs" dxfId="1" priority="12" stopIfTrue="1" operator="lessThan">
      <formula>-0.03</formula>
    </cfRule>
  </conditionalFormatting>
  <conditionalFormatting sqref="AB95">
    <cfRule type="cellIs" dxfId="0" priority="9" operator="greaterThan">
      <formula>0.03</formula>
    </cfRule>
    <cfRule type="cellIs" dxfId="1" priority="10" stopIfTrue="1" operator="lessThan">
      <formula>-0.03</formula>
    </cfRule>
  </conditionalFormatting>
  <conditionalFormatting sqref="Z98:AA98">
    <cfRule type="cellIs" dxfId="0" priority="1" operator="greaterThan">
      <formula>0.03</formula>
    </cfRule>
    <cfRule type="cellIs" dxfId="1" priority="2" stopIfTrue="1" operator="lessThan">
      <formula>-0.03</formula>
    </cfRule>
  </conditionalFormatting>
  <conditionalFormatting sqref="W3:Y3 V4:Y82 V99:Y103 V104:AB105">
    <cfRule type="cellIs" dxfId="0" priority="197" operator="greaterThan">
      <formula>0.03</formula>
    </cfRule>
    <cfRule type="cellIs" dxfId="1" priority="198" stopIfTrue="1" operator="lessThan">
      <formula>-0.03</formula>
    </cfRule>
  </conditionalFormatting>
  <conditionalFormatting sqref="Z67 Z71 Z75 Z79">
    <cfRule type="cellIs" dxfId="0" priority="99" operator="greaterThan">
      <formula>0.03</formula>
    </cfRule>
    <cfRule type="cellIs" dxfId="1" priority="100" stopIfTrue="1" operator="lessThan">
      <formula>-0.03</formula>
    </cfRule>
  </conditionalFormatting>
  <conditionalFormatting sqref="AA67 AA71 AA75 AA79">
    <cfRule type="cellIs" dxfId="0" priority="97" operator="greaterThan">
      <formula>0.03</formula>
    </cfRule>
    <cfRule type="cellIs" dxfId="1" priority="98" stopIfTrue="1" operator="lessThan">
      <formula>-0.03</formula>
    </cfRule>
  </conditionalFormatting>
  <conditionalFormatting sqref="AB67 AB71 AB75 AB79">
    <cfRule type="cellIs" dxfId="0" priority="95" operator="greaterThan">
      <formula>0.03</formula>
    </cfRule>
    <cfRule type="cellIs" dxfId="1" priority="96" stopIfTrue="1" operator="lessThan">
      <formula>-0.03</formula>
    </cfRule>
  </conditionalFormatting>
  <conditionalFormatting sqref="Z70:AA70 Z74:AA74 Z78:AA78 Z82:AA82">
    <cfRule type="cellIs" dxfId="0" priority="41" operator="greaterThan">
      <formula>0.03</formula>
    </cfRule>
    <cfRule type="cellIs" dxfId="1" priority="42" stopIfTrue="1" operator="lessThan">
      <formula>-0.03</formula>
    </cfRule>
  </conditionalFormatting>
  <conditionalFormatting sqref="V83:Y98">
    <cfRule type="cellIs" dxfId="0" priority="33" operator="greaterThan">
      <formula>0.03</formula>
    </cfRule>
    <cfRule type="cellIs" dxfId="1" priority="34" stopIfTrue="1" operator="lessThan">
      <formula>-0.03</formula>
    </cfRule>
  </conditionalFormatting>
  <conditionalFormatting sqref="Z99:AB103">
    <cfRule type="cellIs" dxfId="0" priority="75" operator="greaterThan">
      <formula>0.03</formula>
    </cfRule>
    <cfRule type="cellIs" dxfId="1" priority="76" stopIfTrue="1" operator="lessThan">
      <formula>-0.03</formula>
    </cfRule>
  </conditionalFormatting>
  <pageMargins left="0.75" right="0.75" top="1" bottom="1" header="0.5" footer="0.5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AI(x264 bs Vsx264 main)</vt:lpstr>
      <vt:lpstr>RA(x264 bs Vsx264 main)</vt:lpstr>
      <vt:lpstr>LD(x264 bs Vsx264 main)</vt:lpstr>
      <vt:lpstr>empty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84038</cp:lastModifiedBy>
  <dcterms:created xsi:type="dcterms:W3CDTF">2011-06-30T00:09:00Z</dcterms:created>
  <dcterms:modified xsi:type="dcterms:W3CDTF">2022-01-16T02:33:06Z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